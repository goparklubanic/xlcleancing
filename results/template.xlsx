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hidePivotFieldList="1"/>
  <mc:AlternateContent xmlns:mc="http://schemas.openxmlformats.org/markup-compatibility/2006">
    <mc:Choice Requires="x15">
      <x15ac:absPath xmlns:x15ac="http://schemas.microsoft.com/office/spreadsheetml/2010/11/ac" url="D:\#IMPORTANT\1. Dzikry\2. VERONIQUE\1. ALL INVOICE\2026\INVOICE VERONIQUE\1. GOLD\"/>
    </mc:Choice>
  </mc:AlternateContent>
  <xr:revisionPtr revIDLastSave="0" documentId="13_ncr:1_{9D807D38-A42C-4839-B7BE-43EB20380155}" xr6:coauthVersionLast="47" xr6:coauthVersionMax="47" xr10:uidLastSave="{00000000-0000-0000-0000-000000000000}"/>
  <bookViews>
    <workbookView xWindow="-80" yWindow="-80" windowWidth="25760" windowHeight="15440" xr2:uid="{00000000-000D-0000-FFFF-FFFF00000000}"/>
  </bookViews>
  <sheets>
    <sheet name="Sheet1" sheetId="1" r:id="rId1"/>
    <sheet name="Sheet2" sheetId="2" r:id="rId2"/>
    <sheet name="Sheet3" sheetId="4" r:id="rId3"/>
    <sheet name="Sheet4" sheetId="5" r:id="rId4"/>
  </sheets>
  <definedNames>
    <definedName name="_xlnm._FilterDatabase" localSheetId="0" hidden="1">Sheet1!$A$3:$T$152</definedName>
  </definedNames>
  <calcPr calcId="191029"/>
  <pivotCaches>
    <pivotCache cacheId="7" r:id="rId5"/>
    <pivotCache cacheId="8" r:id="rId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M17" i="4" l="1"/>
  <c r="M16" i="4"/>
  <c r="L16" i="4"/>
  <c r="M14" i="4"/>
  <c r="M6" i="4"/>
  <c r="M7" i="4"/>
  <c r="M8" i="4"/>
  <c r="M9" i="4"/>
  <c r="M10" i="4"/>
  <c r="M11" i="4"/>
  <c r="M12" i="4"/>
  <c r="M13" i="4"/>
  <c r="M5" i="4"/>
  <c r="J17" i="4" l="1"/>
  <c r="J16" i="4"/>
  <c r="J14" i="4"/>
  <c r="K6" i="4"/>
  <c r="L6" i="4"/>
  <c r="K7" i="4"/>
  <c r="L7" i="4"/>
  <c r="K8" i="4"/>
  <c r="L8" i="4"/>
  <c r="K9" i="4"/>
  <c r="L9" i="4"/>
  <c r="L10" i="4"/>
  <c r="K11" i="4"/>
  <c r="L11" i="4"/>
  <c r="K12" i="4"/>
  <c r="L12" i="4"/>
  <c r="K13" i="4"/>
  <c r="L13" i="4"/>
  <c r="L5" i="4"/>
  <c r="K5" i="4"/>
  <c r="K16" i="4" s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76" i="1"/>
  <c r="S77" i="1"/>
  <c r="S78" i="1"/>
  <c r="S79" i="1"/>
  <c r="S80" i="1"/>
  <c r="S81" i="1"/>
  <c r="S82" i="1"/>
  <c r="S83" i="1"/>
  <c r="S84" i="1"/>
  <c r="S85" i="1"/>
  <c r="S86" i="1"/>
  <c r="S87" i="1"/>
  <c r="S88" i="1"/>
  <c r="S89" i="1"/>
  <c r="S90" i="1"/>
  <c r="S91" i="1"/>
  <c r="S92" i="1"/>
  <c r="S93" i="1"/>
  <c r="S94" i="1"/>
  <c r="S95" i="1"/>
  <c r="S96" i="1"/>
  <c r="S97" i="1"/>
  <c r="S98" i="1"/>
  <c r="S99" i="1"/>
  <c r="S100" i="1"/>
  <c r="S101" i="1"/>
  <c r="S102" i="1"/>
  <c r="S103" i="1"/>
  <c r="S104" i="1"/>
  <c r="S105" i="1"/>
  <c r="S106" i="1"/>
  <c r="S107" i="1"/>
  <c r="S108" i="1"/>
  <c r="S109" i="1"/>
  <c r="S110" i="1"/>
  <c r="S111" i="1"/>
  <c r="S112" i="1"/>
  <c r="S113" i="1"/>
  <c r="S114" i="1"/>
  <c r="S115" i="1"/>
  <c r="S116" i="1"/>
  <c r="S117" i="1"/>
  <c r="S118" i="1"/>
  <c r="S119" i="1"/>
  <c r="S120" i="1"/>
  <c r="S121" i="1"/>
  <c r="S122" i="1"/>
  <c r="S123" i="1"/>
  <c r="S124" i="1"/>
  <c r="S125" i="1"/>
  <c r="S126" i="1"/>
  <c r="S127" i="1"/>
  <c r="S128" i="1"/>
  <c r="S129" i="1"/>
  <c r="S130" i="1"/>
  <c r="S131" i="1"/>
  <c r="S132" i="1"/>
  <c r="S133" i="1"/>
  <c r="S134" i="1"/>
  <c r="S135" i="1"/>
  <c r="S136" i="1"/>
  <c r="S137" i="1"/>
  <c r="S138" i="1"/>
  <c r="S139" i="1"/>
  <c r="S140" i="1"/>
  <c r="S141" i="1"/>
  <c r="S142" i="1"/>
  <c r="S143" i="1"/>
  <c r="S144" i="1"/>
  <c r="S145" i="1"/>
  <c r="S146" i="1"/>
  <c r="S147" i="1"/>
  <c r="S148" i="1"/>
  <c r="S149" i="1"/>
  <c r="S150" i="1"/>
  <c r="S151" i="1"/>
  <c r="S152" i="1"/>
  <c r="S4" i="1"/>
  <c r="L14" i="4" l="1"/>
  <c r="L17" i="4"/>
  <c r="K14" i="4"/>
  <c r="K17" i="4"/>
  <c r="J21" i="2" l="1"/>
  <c r="K21" i="2"/>
  <c r="L21" i="2"/>
  <c r="M21" i="2"/>
  <c r="N21" i="2"/>
  <c r="O21" i="2"/>
  <c r="P13" i="2"/>
  <c r="P14" i="2"/>
  <c r="P15" i="2"/>
  <c r="P16" i="2"/>
  <c r="P17" i="2"/>
  <c r="P18" i="2"/>
  <c r="P19" i="2"/>
  <c r="P20" i="2"/>
  <c r="P12" i="2"/>
  <c r="I13" i="2"/>
  <c r="I14" i="2"/>
  <c r="I15" i="2"/>
  <c r="I16" i="2"/>
  <c r="I17" i="2"/>
  <c r="I18" i="2"/>
  <c r="I19" i="2"/>
  <c r="I12" i="2"/>
  <c r="O13" i="2"/>
  <c r="O14" i="2"/>
  <c r="O15" i="2"/>
  <c r="O16" i="2"/>
  <c r="O17" i="2"/>
  <c r="O18" i="2"/>
  <c r="O19" i="2"/>
  <c r="O20" i="2"/>
  <c r="O12" i="2"/>
  <c r="N13" i="2"/>
  <c r="N14" i="2"/>
  <c r="N15" i="2"/>
  <c r="N16" i="2"/>
  <c r="N17" i="2"/>
  <c r="N18" i="2"/>
  <c r="N19" i="2"/>
  <c r="N20" i="2"/>
  <c r="N12" i="2"/>
  <c r="L13" i="2"/>
  <c r="L14" i="2"/>
  <c r="L15" i="2"/>
  <c r="L16" i="2"/>
  <c r="L17" i="2"/>
  <c r="L18" i="2"/>
  <c r="L19" i="2"/>
  <c r="L20" i="2"/>
  <c r="L12" i="2"/>
  <c r="M13" i="2"/>
  <c r="M14" i="2"/>
  <c r="M15" i="2"/>
  <c r="M16" i="2"/>
  <c r="M17" i="2"/>
  <c r="M18" i="2"/>
  <c r="M19" i="2"/>
  <c r="M20" i="2"/>
  <c r="M12" i="2"/>
  <c r="K12" i="2"/>
  <c r="K13" i="2"/>
  <c r="K14" i="2"/>
  <c r="K15" i="2"/>
  <c r="K16" i="2"/>
  <c r="K17" i="2"/>
  <c r="K18" i="2"/>
  <c r="K19" i="2"/>
  <c r="K20" i="2"/>
  <c r="I21" i="2" l="1"/>
  <c r="O72" i="1" l="1"/>
  <c r="O71" i="1"/>
  <c r="O70" i="1"/>
  <c r="O7" i="1"/>
  <c r="O6" i="1"/>
  <c r="O5" i="1"/>
  <c r="O4" i="1"/>
  <c r="O150" i="1"/>
  <c r="O145" i="1"/>
  <c r="O144" i="1"/>
  <c r="O139" i="1"/>
  <c r="O138" i="1"/>
  <c r="O132" i="1"/>
  <c r="O129" i="1"/>
  <c r="O128" i="1"/>
  <c r="O107" i="1"/>
  <c r="O106" i="1"/>
  <c r="O105" i="1"/>
  <c r="O104" i="1"/>
  <c r="O103" i="1"/>
  <c r="O102" i="1"/>
  <c r="O99" i="1"/>
  <c r="O95" i="1"/>
  <c r="O94" i="1"/>
  <c r="O91" i="1"/>
  <c r="O90" i="1"/>
  <c r="O88" i="1"/>
  <c r="O87" i="1"/>
  <c r="O86" i="1"/>
  <c r="O85" i="1"/>
  <c r="O84" i="1"/>
  <c r="O83" i="1"/>
  <c r="O82" i="1"/>
  <c r="O80" i="1"/>
  <c r="O79" i="1"/>
  <c r="O78" i="1"/>
  <c r="O77" i="1"/>
  <c r="O76" i="1"/>
  <c r="O75" i="1"/>
  <c r="O74" i="1"/>
  <c r="O73" i="1"/>
  <c r="O44" i="1"/>
  <c r="O41" i="1"/>
  <c r="O40" i="1"/>
  <c r="O39" i="1"/>
  <c r="O38" i="1"/>
  <c r="O37" i="1"/>
  <c r="O36" i="1"/>
  <c r="O35" i="1"/>
  <c r="O34" i="1"/>
  <c r="O33" i="1"/>
  <c r="O32" i="1"/>
  <c r="O31" i="1"/>
  <c r="O30" i="1"/>
  <c r="O29" i="1"/>
  <c r="O28" i="1"/>
  <c r="O27" i="1"/>
  <c r="O26" i="1"/>
  <c r="O25" i="1"/>
  <c r="O24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42" i="1"/>
  <c r="O43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81" i="1"/>
  <c r="O89" i="1"/>
  <c r="O92" i="1"/>
  <c r="O93" i="1"/>
  <c r="O96" i="1"/>
  <c r="O97" i="1"/>
  <c r="O98" i="1"/>
  <c r="O100" i="1"/>
  <c r="O101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30" i="1"/>
  <c r="O131" i="1"/>
  <c r="O133" i="1"/>
  <c r="O134" i="1"/>
  <c r="O135" i="1"/>
  <c r="O136" i="1"/>
  <c r="O137" i="1"/>
  <c r="O140" i="1"/>
  <c r="O141" i="1"/>
  <c r="O142" i="1"/>
  <c r="O143" i="1"/>
  <c r="O146" i="1"/>
  <c r="O147" i="1"/>
  <c r="O148" i="1"/>
  <c r="O149" i="1"/>
  <c r="O151" i="1"/>
  <c r="O152" i="1"/>
  <c r="T5" i="1" l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T48" i="1"/>
  <c r="T49" i="1"/>
  <c r="T50" i="1"/>
  <c r="T51" i="1"/>
  <c r="T52" i="1"/>
  <c r="T53" i="1"/>
  <c r="T54" i="1"/>
  <c r="T55" i="1"/>
  <c r="T56" i="1"/>
  <c r="T57" i="1"/>
  <c r="T58" i="1"/>
  <c r="T59" i="1"/>
  <c r="T60" i="1"/>
  <c r="T61" i="1"/>
  <c r="T62" i="1"/>
  <c r="T63" i="1"/>
  <c r="T64" i="1"/>
  <c r="T65" i="1"/>
  <c r="T66" i="1"/>
  <c r="T67" i="1"/>
  <c r="T68" i="1"/>
  <c r="T69" i="1"/>
  <c r="T70" i="1"/>
  <c r="T71" i="1"/>
  <c r="T72" i="1"/>
  <c r="T73" i="1"/>
  <c r="T74" i="1"/>
  <c r="T75" i="1"/>
  <c r="T76" i="1"/>
  <c r="T77" i="1"/>
  <c r="T78" i="1"/>
  <c r="T79" i="1"/>
  <c r="T80" i="1"/>
  <c r="T81" i="1"/>
  <c r="T82" i="1"/>
  <c r="T83" i="1"/>
  <c r="T84" i="1"/>
  <c r="T85" i="1"/>
  <c r="T86" i="1"/>
  <c r="T87" i="1"/>
  <c r="T88" i="1"/>
  <c r="T89" i="1"/>
  <c r="T90" i="1"/>
  <c r="T91" i="1"/>
  <c r="T92" i="1"/>
  <c r="T93" i="1"/>
  <c r="T94" i="1"/>
  <c r="T95" i="1"/>
  <c r="T96" i="1"/>
  <c r="T97" i="1"/>
  <c r="T98" i="1"/>
  <c r="T99" i="1"/>
  <c r="T100" i="1"/>
  <c r="T101" i="1"/>
  <c r="T102" i="1"/>
  <c r="T103" i="1"/>
  <c r="T104" i="1"/>
  <c r="T105" i="1"/>
  <c r="T106" i="1"/>
  <c r="T107" i="1"/>
  <c r="T108" i="1"/>
  <c r="T109" i="1"/>
  <c r="T110" i="1"/>
  <c r="T111" i="1"/>
  <c r="T112" i="1"/>
  <c r="T113" i="1"/>
  <c r="T114" i="1"/>
  <c r="T115" i="1"/>
  <c r="T116" i="1"/>
  <c r="T117" i="1"/>
  <c r="T118" i="1"/>
  <c r="T119" i="1"/>
  <c r="T120" i="1"/>
  <c r="T121" i="1"/>
  <c r="T122" i="1"/>
  <c r="T123" i="1"/>
  <c r="T124" i="1"/>
  <c r="T125" i="1"/>
  <c r="T126" i="1"/>
  <c r="T127" i="1"/>
  <c r="T128" i="1"/>
  <c r="T129" i="1"/>
  <c r="T130" i="1"/>
  <c r="T131" i="1"/>
  <c r="T132" i="1"/>
  <c r="T133" i="1"/>
  <c r="T134" i="1"/>
  <c r="T135" i="1"/>
  <c r="T136" i="1"/>
  <c r="T137" i="1"/>
  <c r="T138" i="1"/>
  <c r="T139" i="1"/>
  <c r="T140" i="1"/>
  <c r="T141" i="1"/>
  <c r="T142" i="1"/>
  <c r="T143" i="1"/>
  <c r="T144" i="1"/>
  <c r="T145" i="1"/>
  <c r="T146" i="1"/>
  <c r="T147" i="1"/>
  <c r="T148" i="1"/>
  <c r="T149" i="1"/>
  <c r="T150" i="1"/>
  <c r="T151" i="1"/>
  <c r="T152" i="1"/>
  <c r="T4" i="1"/>
  <c r="T2" i="1" l="1"/>
  <c r="J2" i="1"/>
  <c r="F141" i="5" l="1"/>
  <c r="E141" i="5"/>
  <c r="G141" i="5"/>
  <c r="D141" i="5"/>
  <c r="S2" i="1" l="1"/>
  <c r="M2" i="1"/>
  <c r="L2" i="1"/>
  <c r="H2" i="1" l="1"/>
  <c r="I2" i="1" l="1"/>
  <c r="G2" i="1" l="1"/>
  <c r="R4" i="1" l="1"/>
  <c r="Q4" i="1"/>
  <c r="Q145" i="1"/>
  <c r="Q104" i="1"/>
  <c r="Q62" i="1"/>
  <c r="R34" i="1"/>
  <c r="R12" i="1"/>
  <c r="R62" i="1"/>
  <c r="Q39" i="1"/>
  <c r="Q83" i="1"/>
  <c r="Q15" i="1"/>
  <c r="Q95" i="1"/>
  <c r="Q37" i="1"/>
  <c r="Q43" i="1"/>
  <c r="R104" i="1"/>
  <c r="R7" i="1"/>
  <c r="Q136" i="1"/>
  <c r="R136" i="1"/>
  <c r="R83" i="1"/>
  <c r="Q24" i="1"/>
  <c r="R15" i="1"/>
  <c r="R95" i="1"/>
  <c r="Q34" i="1"/>
  <c r="Q7" i="1"/>
  <c r="R37" i="1"/>
  <c r="R39" i="1"/>
  <c r="Q17" i="1"/>
  <c r="R43" i="1"/>
  <c r="R24" i="1"/>
  <c r="Q11" i="1"/>
  <c r="R11" i="1"/>
  <c r="Q12" i="1"/>
  <c r="R17" i="1"/>
  <c r="R145" i="1"/>
  <c r="R131" i="1"/>
  <c r="Q21" i="1"/>
  <c r="R107" i="1"/>
  <c r="Q38" i="1"/>
  <c r="Q32" i="1"/>
  <c r="R71" i="1"/>
  <c r="Q9" i="1"/>
  <c r="Q103" i="1"/>
  <c r="R35" i="1"/>
  <c r="Q28" i="1"/>
  <c r="R29" i="1"/>
  <c r="Q82" i="1"/>
  <c r="R33" i="1"/>
  <c r="R146" i="1"/>
  <c r="R125" i="1"/>
  <c r="Q29" i="1"/>
  <c r="Q33" i="1"/>
  <c r="Q125" i="1"/>
  <c r="R116" i="1"/>
  <c r="Q140" i="1"/>
  <c r="Q131" i="1"/>
  <c r="R31" i="1"/>
  <c r="Q107" i="1"/>
  <c r="R135" i="1"/>
  <c r="R13" i="1"/>
  <c r="Q71" i="1"/>
  <c r="Q35" i="1"/>
  <c r="R76" i="1"/>
  <c r="Q146" i="1"/>
  <c r="Q116" i="1"/>
  <c r="Q97" i="1"/>
  <c r="R122" i="1"/>
  <c r="R88" i="1"/>
  <c r="Q31" i="1"/>
  <c r="R14" i="1"/>
  <c r="R137" i="1"/>
  <c r="R23" i="1"/>
  <c r="Q135" i="1"/>
  <c r="R59" i="1"/>
  <c r="Q13" i="1"/>
  <c r="R86" i="1"/>
  <c r="R93" i="1"/>
  <c r="R134" i="1"/>
  <c r="Q76" i="1"/>
  <c r="R40" i="1"/>
  <c r="Q88" i="1"/>
  <c r="R65" i="1"/>
  <c r="Q14" i="1"/>
  <c r="R114" i="1"/>
  <c r="R61" i="1"/>
  <c r="Q137" i="1"/>
  <c r="Q23" i="1"/>
  <c r="Q59" i="1"/>
  <c r="Q86" i="1"/>
  <c r="Q93" i="1"/>
  <c r="R123" i="1"/>
  <c r="Q134" i="1"/>
  <c r="R111" i="1"/>
  <c r="Q40" i="1"/>
  <c r="R97" i="1"/>
  <c r="R74" i="1"/>
  <c r="Q65" i="1"/>
  <c r="R105" i="1"/>
  <c r="Q114" i="1"/>
  <c r="Q61" i="1"/>
  <c r="R100" i="1"/>
  <c r="R129" i="1"/>
  <c r="R151" i="1"/>
  <c r="R58" i="1"/>
  <c r="R138" i="1"/>
  <c r="Q123" i="1"/>
  <c r="R36" i="1"/>
  <c r="R94" i="1"/>
  <c r="Q111" i="1"/>
  <c r="R69" i="1"/>
  <c r="R140" i="1"/>
  <c r="R99" i="1"/>
  <c r="Q105" i="1"/>
  <c r="R66" i="1"/>
  <c r="R64" i="1"/>
  <c r="R79" i="1"/>
  <c r="Q100" i="1"/>
  <c r="R92" i="1"/>
  <c r="Q129" i="1"/>
  <c r="Q151" i="1"/>
  <c r="Q58" i="1"/>
  <c r="Q138" i="1"/>
  <c r="R143" i="1"/>
  <c r="Q36" i="1"/>
  <c r="R124" i="1"/>
  <c r="Q94" i="1"/>
  <c r="R30" i="1"/>
  <c r="Q69" i="1"/>
  <c r="Q99" i="1"/>
  <c r="Q66" i="1"/>
  <c r="Q64" i="1"/>
  <c r="Q79" i="1"/>
  <c r="R55" i="1"/>
  <c r="Q92" i="1"/>
  <c r="Q55" i="1"/>
  <c r="Q143" i="1"/>
  <c r="R89" i="1"/>
  <c r="Q124" i="1"/>
  <c r="R28" i="1"/>
  <c r="Q89" i="1"/>
  <c r="R80" i="1"/>
  <c r="Q80" i="1"/>
  <c r="R82" i="1"/>
  <c r="Q122" i="1"/>
  <c r="R32" i="1"/>
  <c r="R9" i="1"/>
  <c r="R21" i="1"/>
  <c r="R38" i="1"/>
  <c r="Q30" i="1"/>
  <c r="Q74" i="1"/>
  <c r="R103" i="1"/>
  <c r="R42" i="1"/>
  <c r="Q56" i="1"/>
  <c r="Q16" i="1"/>
  <c r="R49" i="1"/>
  <c r="Q6" i="1"/>
  <c r="Q50" i="1"/>
  <c r="R56" i="1"/>
  <c r="Q42" i="1"/>
  <c r="R68" i="1"/>
  <c r="Q68" i="1"/>
  <c r="R50" i="1"/>
  <c r="R148" i="1"/>
  <c r="R16" i="1"/>
  <c r="R120" i="1"/>
  <c r="R121" i="1"/>
  <c r="R6" i="1"/>
  <c r="Q49" i="1"/>
  <c r="Q120" i="1"/>
  <c r="Q121" i="1"/>
  <c r="Q148" i="1"/>
  <c r="K2" i="1" l="1"/>
  <c r="F2" i="1"/>
  <c r="E2" i="1"/>
  <c r="R130" i="1" l="1"/>
  <c r="R85" i="1"/>
  <c r="R81" i="1"/>
  <c r="R102" i="1"/>
  <c r="R67" i="1"/>
  <c r="R101" i="1"/>
  <c r="R47" i="1"/>
  <c r="R112" i="1"/>
  <c r="R10" i="1"/>
  <c r="R5" i="1"/>
  <c r="R26" i="1"/>
  <c r="R57" i="1"/>
  <c r="R152" i="1"/>
  <c r="R73" i="1"/>
  <c r="R141" i="1"/>
  <c r="R115" i="1"/>
  <c r="R87" i="1"/>
  <c r="R96" i="1"/>
  <c r="R25" i="1"/>
  <c r="R147" i="1"/>
  <c r="R48" i="1"/>
  <c r="R108" i="1"/>
  <c r="R133" i="1"/>
  <c r="R118" i="1"/>
  <c r="R126" i="1"/>
  <c r="R84" i="1"/>
  <c r="R119" i="1"/>
  <c r="R132" i="1"/>
  <c r="R144" i="1"/>
  <c r="R20" i="1"/>
  <c r="R78" i="1"/>
  <c r="R41" i="1"/>
  <c r="R142" i="1"/>
  <c r="R127" i="1"/>
  <c r="R149" i="1"/>
  <c r="R106" i="1"/>
  <c r="R54" i="1"/>
  <c r="R60" i="1"/>
  <c r="R70" i="1"/>
  <c r="R45" i="1"/>
  <c r="R27" i="1"/>
  <c r="R44" i="1"/>
  <c r="R46" i="1"/>
  <c r="R63" i="1"/>
  <c r="R98" i="1"/>
  <c r="R18" i="1"/>
  <c r="R52" i="1"/>
  <c r="R22" i="1"/>
  <c r="R109" i="1"/>
  <c r="R75" i="1"/>
  <c r="R77" i="1"/>
  <c r="R117" i="1"/>
  <c r="R90" i="1"/>
  <c r="R8" i="1"/>
  <c r="R128" i="1"/>
  <c r="R91" i="1"/>
  <c r="R113" i="1"/>
  <c r="R139" i="1"/>
  <c r="R110" i="1"/>
  <c r="R72" i="1"/>
  <c r="R150" i="1"/>
  <c r="R19" i="1"/>
  <c r="R53" i="1"/>
  <c r="R51" i="1"/>
  <c r="Q78" i="1" l="1"/>
  <c r="Q110" i="1"/>
  <c r="Q63" i="1"/>
  <c r="Q141" i="1"/>
  <c r="Q60" i="1"/>
  <c r="Q81" i="1"/>
  <c r="Q54" i="1"/>
  <c r="Q152" i="1"/>
  <c r="Q53" i="1"/>
  <c r="Q8" i="1"/>
  <c r="Q57" i="1"/>
  <c r="Q19" i="1"/>
  <c r="Q70" i="1"/>
  <c r="Q26" i="1"/>
  <c r="Q144" i="1"/>
  <c r="Q67" i="1"/>
  <c r="Q91" i="1"/>
  <c r="Q147" i="1"/>
  <c r="Q75" i="1"/>
  <c r="Q44" i="1"/>
  <c r="Q45" i="1"/>
  <c r="Q41" i="1"/>
  <c r="Q112" i="1"/>
  <c r="Q20" i="1"/>
  <c r="Q101" i="1"/>
  <c r="Q72" i="1"/>
  <c r="Q119" i="1"/>
  <c r="Q115" i="1"/>
  <c r="Q84" i="1"/>
  <c r="Q126" i="1"/>
  <c r="Q118" i="1"/>
  <c r="Q22" i="1"/>
  <c r="Q51" i="1"/>
  <c r="Q98" i="1"/>
  <c r="Q27" i="1"/>
  <c r="Q96" i="1"/>
  <c r="Q52" i="1"/>
  <c r="Q18" i="1"/>
  <c r="Q46" i="1"/>
  <c r="Q77" i="1"/>
  <c r="Q48" i="1"/>
  <c r="Q109" i="1"/>
  <c r="Q10" i="1"/>
  <c r="Q5" i="1"/>
  <c r="Q108" i="1"/>
  <c r="Q25" i="1"/>
  <c r="Q113" i="1"/>
  <c r="Q139" i="1"/>
  <c r="Q133" i="1"/>
  <c r="Q127" i="1"/>
  <c r="Q47" i="1"/>
  <c r="Q149" i="1"/>
  <c r="Q106" i="1"/>
  <c r="Q142" i="1"/>
  <c r="Q117" i="1"/>
  <c r="Q150" i="1"/>
  <c r="Q87" i="1"/>
  <c r="Q73" i="1"/>
  <c r="Q132" i="1"/>
  <c r="Q90" i="1"/>
  <c r="Q85" i="1"/>
  <c r="Q130" i="1"/>
  <c r="Q102" i="1"/>
  <c r="Q128" i="1"/>
  <c r="Q2" i="1" l="1"/>
  <c r="R2" i="1" l="1"/>
  <c r="B6" i="2" l="1"/>
  <c r="B5" i="2"/>
  <c r="B4" i="2"/>
  <c r="B3" i="2"/>
  <c r="B2" i="2"/>
  <c r="B7" i="2" l="1"/>
  <c r="D6" i="2" l="1"/>
  <c r="C6" i="2"/>
  <c r="D3" i="2" l="1"/>
  <c r="C5" i="2" l="1"/>
  <c r="D5" i="2"/>
  <c r="D2" i="2"/>
  <c r="C4" i="2"/>
  <c r="D4" i="2"/>
  <c r="C2" i="2"/>
  <c r="C3" i="2"/>
  <c r="D7" i="2" l="1"/>
  <c r="C7" i="2"/>
</calcChain>
</file>

<file path=xl/sharedStrings.xml><?xml version="1.0" encoding="utf-8"?>
<sst xmlns="http://schemas.openxmlformats.org/spreadsheetml/2006/main" count="222" uniqueCount="189">
  <si>
    <t>PO#</t>
  </si>
  <si>
    <t>Item No.</t>
  </si>
  <si>
    <t>Metal</t>
  </si>
  <si>
    <t>Q'ty</t>
  </si>
  <si>
    <t>Total w't</t>
  </si>
  <si>
    <t>Necklace</t>
  </si>
  <si>
    <t>Buyer</t>
  </si>
  <si>
    <t>ID</t>
  </si>
  <si>
    <t>QTY</t>
  </si>
  <si>
    <t>Grand Total</t>
  </si>
  <si>
    <t>NO BOX</t>
  </si>
  <si>
    <t>NET</t>
  </si>
  <si>
    <t>NEW MAKLON</t>
  </si>
  <si>
    <t>NEW TOTAL PRICE</t>
  </si>
  <si>
    <t>TOTAL PRICE NEW</t>
  </si>
  <si>
    <t>MAKLON NEW</t>
  </si>
  <si>
    <t>TOTAL PRICE</t>
  </si>
  <si>
    <t>DIA VALUE + MAKLON</t>
  </si>
  <si>
    <t>GROSS</t>
  </si>
  <si>
    <t>ROUND GROSS</t>
  </si>
  <si>
    <t>14KB</t>
  </si>
  <si>
    <t>14KE</t>
  </si>
  <si>
    <t>14KN</t>
  </si>
  <si>
    <t>14KR</t>
  </si>
  <si>
    <t>Gold Value for US</t>
  </si>
  <si>
    <t>Sum of Gold Value for US</t>
  </si>
  <si>
    <t>IDD250808RB-7-14K</t>
  </si>
  <si>
    <t>IDD251010RB-7-14K</t>
  </si>
  <si>
    <t>IDD250929RB-3-14K</t>
  </si>
  <si>
    <t>IDD251014RB-1-14K</t>
  </si>
  <si>
    <t>IDD251015RB-6-14K</t>
  </si>
  <si>
    <t>IDD251023RB-3-14K</t>
  </si>
  <si>
    <t>IDD251023RB-2-14K</t>
  </si>
  <si>
    <t>IDD251103RB-3-14K</t>
  </si>
  <si>
    <t>IDD251103RB-2-14K</t>
  </si>
  <si>
    <t>IDD251103RB-4-14K</t>
  </si>
  <si>
    <t>IDD251105RB-4-14K</t>
  </si>
  <si>
    <t>IDD251110RB-2-14K</t>
  </si>
  <si>
    <t>IDD251110RB-3-14K</t>
  </si>
  <si>
    <t>IDD251111RB-14K</t>
  </si>
  <si>
    <t>IDD251120RB-3-14K</t>
  </si>
  <si>
    <t>IDD251104RB-1-14K</t>
  </si>
  <si>
    <t>IDD251107RB-4-14K</t>
  </si>
  <si>
    <t>IDD251114RB-1-14K</t>
  </si>
  <si>
    <t>IDD251117RB-5-14K</t>
  </si>
  <si>
    <t>IDD251112RB-14K</t>
  </si>
  <si>
    <t>IDD251113RB-14K</t>
  </si>
  <si>
    <t>IDD251117RB-1-14K</t>
  </si>
  <si>
    <t>IDD251117RB-2-14K</t>
  </si>
  <si>
    <t>IDD251117RB-3-14K</t>
  </si>
  <si>
    <t>IDD251117RB-4-14K</t>
  </si>
  <si>
    <t>IDD251118RB-2-14K</t>
  </si>
  <si>
    <t>IDD251119RB-14K</t>
  </si>
  <si>
    <t>IDD251120RB-4-14K</t>
  </si>
  <si>
    <t>IDD251110DM-3-14K</t>
  </si>
  <si>
    <t>IDDIND251225RB-14K</t>
  </si>
  <si>
    <t>IDDIND251201RB-2-14K</t>
  </si>
  <si>
    <t>IDDIND251205RB-2-14K</t>
  </si>
  <si>
    <t>IDDIND251212RB-4-14K</t>
  </si>
  <si>
    <t>IDDIND251224RB-1-14K</t>
  </si>
  <si>
    <t>IDDIND251230RB-3-14K</t>
  </si>
  <si>
    <t>IDDIND260102RB-14K</t>
  </si>
  <si>
    <t>IDDIND260108RB-14K</t>
  </si>
  <si>
    <t>IDDIND260108RM-14K</t>
  </si>
  <si>
    <t>IDDIND251217RB-3-14K</t>
  </si>
  <si>
    <t>IDDIND251219RB-1-14K</t>
  </si>
  <si>
    <t>IDDIND251205RB-1-14K</t>
  </si>
  <si>
    <t>IDDIND251208RB-1-14K</t>
  </si>
  <si>
    <t>IDDIND251208RB-2-14K</t>
  </si>
  <si>
    <t>IDDIND251208RB-5-14K</t>
  </si>
  <si>
    <t>IDDIND251208RB-6-14K</t>
  </si>
  <si>
    <t>IDDIND251210RB-2-14K</t>
  </si>
  <si>
    <t>IDDIND251211RB-14K</t>
  </si>
  <si>
    <t>IDDIND251212RB-5-14K</t>
  </si>
  <si>
    <t>IDDIND251212RB-6-14K</t>
  </si>
  <si>
    <t>IDDIND251216DB-14K</t>
  </si>
  <si>
    <t>IDDIND251216RB-1-14K</t>
  </si>
  <si>
    <t>IDDIND251216RB-2-14K</t>
  </si>
  <si>
    <t>IDDIND251216RB-3-14K</t>
  </si>
  <si>
    <t>IDDIND251217RB-1-14K</t>
  </si>
  <si>
    <t>IDDIND251218RB-14K</t>
  </si>
  <si>
    <t>IDDIND251223RB-1-14K</t>
  </si>
  <si>
    <t>IDDIND251223RB-2-14K</t>
  </si>
  <si>
    <t>IDDIND251224RB-2-14K</t>
  </si>
  <si>
    <t>IDDIND251230RB-2-14K</t>
  </si>
  <si>
    <t>IDDIND251230RB-4-14K</t>
  </si>
  <si>
    <t>IDDIND251230RB-5-14K</t>
  </si>
  <si>
    <t>IDDIND260116RM-2-14K</t>
  </si>
  <si>
    <t>IDDIND251212RB-1-14K</t>
  </si>
  <si>
    <t>IDDIND251218DB-14K</t>
  </si>
  <si>
    <t>IDDUS260122RM-14K</t>
  </si>
  <si>
    <t>IDDUS260121RM-14K</t>
  </si>
  <si>
    <t>IDDUS260114RM-5-14K</t>
  </si>
  <si>
    <t>IDDUS260114RM-1-14K</t>
  </si>
  <si>
    <t>IDDUS260112RM-3-14K</t>
  </si>
  <si>
    <t>IDDUS260107RB-1-14K</t>
  </si>
  <si>
    <t>IDDUS251230RB-14K</t>
  </si>
  <si>
    <t>IDDUS251226RB-4-14K</t>
  </si>
  <si>
    <t>IDDUS251226RB-3-14K</t>
  </si>
  <si>
    <t>IDDUS260202RM-2-14K</t>
  </si>
  <si>
    <t>IDDUS251226RB-2-14K</t>
  </si>
  <si>
    <t>IDDUS251226RB-1-14K</t>
  </si>
  <si>
    <t>IDDUS251225RM-14K</t>
  </si>
  <si>
    <t>IDDUS251223RB-4-14K</t>
  </si>
  <si>
    <t>IDDUS251223RB-3-14K</t>
  </si>
  <si>
    <t>IDDUS251223RB-1-14K</t>
  </si>
  <si>
    <t>IDDUS251222RB-2-14K</t>
  </si>
  <si>
    <t>IDDUS251223RB-2-14K</t>
  </si>
  <si>
    <t>IDDUS251226RB-5-14K</t>
  </si>
  <si>
    <t>IDDUS251201RB-4-14K</t>
  </si>
  <si>
    <t>IDDUS251208RB-2-14K</t>
  </si>
  <si>
    <t>IDDUS251216RB-3-14K</t>
  </si>
  <si>
    <t>IDDUS251216RB-4-14K-NS</t>
  </si>
  <si>
    <t>IDDUS251216RB-5-14K</t>
  </si>
  <si>
    <t>IDDUS251218RB-1-14K</t>
  </si>
  <si>
    <t>IDDUS251218RB-2-14K</t>
  </si>
  <si>
    <t>IDDUS251218RB-3-14K</t>
  </si>
  <si>
    <t>IDDUS251218RB-3-14K-NS</t>
  </si>
  <si>
    <t>IDDUS251219RB-14K</t>
  </si>
  <si>
    <t>IDDUS251222RB-1-14K</t>
  </si>
  <si>
    <t>IDDUS251125RB-14K</t>
  </si>
  <si>
    <t>IDDUS251128RB-2-14K</t>
  </si>
  <si>
    <t>IDDUS251201RB-1-14K</t>
  </si>
  <si>
    <t>IDDUS251201RB-2-14K</t>
  </si>
  <si>
    <t>IDDUS251202RB-14K</t>
  </si>
  <si>
    <t>IDDUS251203RB-14K</t>
  </si>
  <si>
    <t>IDDUS251205RB-5-14K</t>
  </si>
  <si>
    <t>IDDUS251201DB-2-14K</t>
  </si>
  <si>
    <t>IDDUS251205RB-3-14K</t>
  </si>
  <si>
    <t>IDDUS251204RB-1-14K</t>
  </si>
  <si>
    <t>IDDUS251210RB-2-14K</t>
  </si>
  <si>
    <t>IDDUS251210RB-3-14K</t>
  </si>
  <si>
    <t>IDDUS251211RB-1-14K</t>
  </si>
  <si>
    <t>IDDUS251211RB-2-14K</t>
  </si>
  <si>
    <t>IDDUS251211RB-3-14K</t>
  </si>
  <si>
    <t>IDDUS251212RB-1-14K</t>
  </si>
  <si>
    <t>IDDUS251224RB-1-14K</t>
  </si>
  <si>
    <t>IDDUS251211RB-4-14K</t>
  </si>
  <si>
    <t>IDDUS251212RB-2-14K</t>
  </si>
  <si>
    <t>IDDUS251212RB-3-14K</t>
  </si>
  <si>
    <t>IDDUS251212RB-4-14K</t>
  </si>
  <si>
    <t>IDDUS251212RB-5-14K</t>
  </si>
  <si>
    <t>IDDUS251212RB-5-14K-NS</t>
  </si>
  <si>
    <t>IDDUS251216RB-1-14K</t>
  </si>
  <si>
    <t>IDDUS251216RB-2-14K</t>
  </si>
  <si>
    <t>IDDUS251216RB-4-14K</t>
  </si>
  <si>
    <t>IDDUS251224RB-2-14K</t>
  </si>
  <si>
    <t>IDDUS260112RM-2-14K</t>
  </si>
  <si>
    <t>IDDUS260112RM-4-14K</t>
  </si>
  <si>
    <t>IDDUS260114RM-3-14K</t>
  </si>
  <si>
    <t>IDDUS260115RM-1-14K</t>
  </si>
  <si>
    <t>IDDUS260116RM-2-14K</t>
  </si>
  <si>
    <t>IDDUS260116RM-3-14K</t>
  </si>
  <si>
    <t>IDDUS260116RM-5-14K</t>
  </si>
  <si>
    <t>IDDUS260119RM-2-14K</t>
  </si>
  <si>
    <t>IDDUS251125DB-14K</t>
  </si>
  <si>
    <t>IDDUS251128RB-1-14K</t>
  </si>
  <si>
    <t>IDDUS251205RB-1-14K</t>
  </si>
  <si>
    <t>IDDUS251212RB-4-14K-NS</t>
  </si>
  <si>
    <t>IDDUS260128RM-3-14K</t>
  </si>
  <si>
    <t>IDDUS260128RM-5-14K</t>
  </si>
  <si>
    <t>IDDUS260202RM-1-14K</t>
  </si>
  <si>
    <t>Gold Value US</t>
  </si>
  <si>
    <t>24K Payment</t>
  </si>
  <si>
    <t>Manufacturing</t>
  </si>
  <si>
    <t>US Dia</t>
  </si>
  <si>
    <t>Non-US Dia</t>
  </si>
  <si>
    <t>Total</t>
  </si>
  <si>
    <t>Sum of Manufacturing</t>
  </si>
  <si>
    <t>Dia Value</t>
  </si>
  <si>
    <t>Sum of Dia Value</t>
  </si>
  <si>
    <t>24 gold weight</t>
  </si>
  <si>
    <t>Gold value, $</t>
  </si>
  <si>
    <t>Stone value, $</t>
  </si>
  <si>
    <t>Labor value, $</t>
  </si>
  <si>
    <t>Material cost</t>
  </si>
  <si>
    <t>Indonesian Customs</t>
  </si>
  <si>
    <t>14KP</t>
  </si>
  <si>
    <t>18KB</t>
  </si>
  <si>
    <t>18KE</t>
  </si>
  <si>
    <t>18KN</t>
  </si>
  <si>
    <t>18KP</t>
  </si>
  <si>
    <t>Sum of Indonesian Customs</t>
  </si>
  <si>
    <t>Sum of Total</t>
  </si>
  <si>
    <t>Sum of Total w't</t>
  </si>
  <si>
    <t>Sum of Q'ty</t>
  </si>
  <si>
    <t>IDN CUSTOMS MAKLON</t>
  </si>
  <si>
    <t>US CUSTOMS MAKLON</t>
  </si>
  <si>
    <t>Row Labels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</si>
</sst>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* #,##0.00_-;\-* #,##0.00_-;_-* &quot;-&quot;??_-;_-@_-"/>
    <numFmt numFmtId="165" formatCode="0.0"/>
    <numFmt numFmtId="166" formatCode="0.0000"/>
    <numFmt numFmtId="167" formatCode="\$#,##0.00"/>
  </numFmts>
  <fonts count="4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164" fontId="2" fillId="0" borderId="0" applyFont="0" applyFill="0" applyBorder="0" applyAlignment="0" applyProtection="0"/>
  </cellStyleXfs>
  <cellXfs count="30">
    <xf numFmtId="0" fontId="0" fillId="0" borderId="0" xfId="0"/>
    <xf numFmtId="0" fontId="1" fillId="0" borderId="0" xfId="0" applyFont="1" applyAlignment="1">
      <alignment horizontal="center"/>
    </xf>
    <xf numFmtId="2" fontId="1" fillId="0" borderId="0" xfId="0" applyNumberFormat="1" applyFont="1" applyAlignment="1">
      <alignment horizontal="center"/>
    </xf>
    <xf numFmtId="0" fontId="1" fillId="0" borderId="0" xfId="0" applyFont="1"/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2" borderId="0" xfId="0" applyFill="1" applyAlignment="1">
      <alignment horizontal="center"/>
    </xf>
    <xf numFmtId="165" fontId="0" fillId="0" borderId="0" xfId="0" applyNumberFormat="1" applyAlignment="1">
      <alignment horizontal="center"/>
    </xf>
    <xf numFmtId="0" fontId="0" fillId="0" borderId="0" xfId="0" pivotButton="1"/>
    <xf numFmtId="2" fontId="1" fillId="0" borderId="0" xfId="0" applyNumberFormat="1" applyFont="1"/>
    <xf numFmtId="2" fontId="0" fillId="0" borderId="0" xfId="0" applyNumberFormat="1"/>
    <xf numFmtId="164" fontId="1" fillId="3" borderId="0" xfId="1" applyFont="1" applyFill="1" applyAlignment="1">
      <alignment horizontal="center"/>
    </xf>
    <xf numFmtId="0" fontId="1" fillId="3" borderId="0" xfId="0" applyFont="1" applyFill="1" applyAlignment="1">
      <alignment horizontal="center"/>
    </xf>
    <xf numFmtId="0" fontId="0" fillId="0" borderId="0" xfId="0" applyNumberFormat="1" applyFill="1" applyAlignment="1">
      <alignment horizontal="center"/>
    </xf>
    <xf numFmtId="2" fontId="0" fillId="0" borderId="0" xfId="0" applyNumberFormat="1" applyFill="1" applyAlignment="1">
      <alignment horizontal="center"/>
    </xf>
    <xf numFmtId="0" fontId="0" fillId="0" borderId="0" xfId="0" applyFill="1" applyAlignment="1">
      <alignment horizontal="center"/>
    </xf>
    <xf numFmtId="0" fontId="1" fillId="0" borderId="0" xfId="0" applyNumberFormat="1" applyFont="1" applyFill="1" applyAlignment="1">
      <alignment horizontal="center"/>
    </xf>
    <xf numFmtId="2" fontId="1" fillId="0" borderId="0" xfId="0" applyNumberFormat="1" applyFont="1" applyFill="1" applyAlignment="1">
      <alignment horizontal="center"/>
    </xf>
    <xf numFmtId="0" fontId="1" fillId="0" borderId="0" xfId="0" applyFont="1" applyFill="1" applyAlignment="1">
      <alignment horizontal="center"/>
    </xf>
    <xf numFmtId="0" fontId="0" fillId="0" borderId="0" xfId="0" applyNumberFormat="1"/>
    <xf numFmtId="166" fontId="1" fillId="0" borderId="0" xfId="0" applyNumberFormat="1" applyFont="1" applyAlignment="1">
      <alignment horizontal="center"/>
    </xf>
    <xf numFmtId="0" fontId="0" fillId="0" borderId="1" xfId="0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7" fontId="0" fillId="0" borderId="1" xfId="0" applyNumberFormat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2" fontId="3" fillId="5" borderId="1" xfId="0" applyNumberFormat="1" applyFont="1" applyFill="1" applyBorder="1" applyAlignment="1">
      <alignment horizontal="center" vertical="center"/>
    </xf>
    <xf numFmtId="167" fontId="3" fillId="5" borderId="1" xfId="0" applyNumberFormat="1" applyFont="1" applyFill="1" applyBorder="1" applyAlignment="1">
      <alignment horizontal="center" vertical="center"/>
    </xf>
    <xf numFmtId="0" fontId="0" fillId="0" borderId="0" xfId="0" applyAlignment="1">
      <alignment horizontal="left"/>
    </xf>
    <xf numFmtId="166" fontId="0" fillId="0" borderId="0" xfId="0" applyNumberFormat="1"/>
  </cellXfs>
  <cellStyles count="2">
    <cellStyle name="Comma" xfId="1" builtinId="3"/>
    <cellStyle name="Normal" xfId="0" builtinId="0"/>
  </cellStyles>
  <dxfs count="23">
    <dxf>
      <numFmt numFmtId="166" formatCode="0.0000"/>
    </dxf>
    <dxf>
      <numFmt numFmtId="2" formatCode="0.00"/>
    </dxf>
    <dxf>
      <numFmt numFmtId="2" formatCode="0.00"/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color auto="1"/>
      </font>
    </dxf>
    <dxf>
      <font>
        <color auto="1"/>
      </font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color rgb="FFFF0000"/>
      </font>
    </dxf>
    <dxf>
      <font>
        <color rgb="FFFF0000"/>
      </font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5" Type="http://schemas.openxmlformats.org/officeDocument/2006/relationships/pivotCacheDefinition" Target="pivotCache/pivotCacheDefinition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zikry Syahrul" refreshedDate="46076.839938773148" createdVersion="8" refreshedVersion="8" minRefreshableVersion="3" recordCount="149" xr:uid="{EF62F763-D037-4012-8F07-5842AD7B000D}">
  <cacheSource type="worksheet">
    <worksheetSource ref="A3:T152" sheet="Sheet1"/>
  </cacheSource>
  <cacheFields count="20">
    <cacheField name="Buyer" numFmtId="0">
      <sharedItems/>
    </cacheField>
    <cacheField name="PO#" numFmtId="0">
      <sharedItems/>
    </cacheField>
    <cacheField name="Item No." numFmtId="0">
      <sharedItems/>
    </cacheField>
    <cacheField name="Metal" numFmtId="0">
      <sharedItems/>
    </cacheField>
    <cacheField name="Q'ty" numFmtId="0">
      <sharedItems containsSemiMixedTypes="0" containsString="0" containsNumber="1" containsInteger="1" minValue="1" maxValue="10"/>
    </cacheField>
    <cacheField name="Total w't" numFmtId="2">
      <sharedItems containsSemiMixedTypes="0" containsString="0" containsNumber="1" minValue="1.3" maxValue="57.039999999999992"/>
    </cacheField>
    <cacheField name="Manufacturing" numFmtId="2">
      <sharedItems containsSemiMixedTypes="0" containsString="0" containsNumber="1" minValue="17.704800000000002" maxValue="692.70999999999992"/>
    </cacheField>
    <cacheField name="US Dia" numFmtId="2">
      <sharedItems containsString="0" containsBlank="1" containsNumber="1" minValue="0" maxValue="1631.0869"/>
    </cacheField>
    <cacheField name="Non-US Dia" numFmtId="2">
      <sharedItems containsString="0" containsBlank="1" containsNumber="1" minValue="24.8531260794473" maxValue="631.82626274749703"/>
    </cacheField>
    <cacheField name="Material cost" numFmtId="2">
      <sharedItems containsSemiMixedTypes="0" containsString="0" containsNumber="1" minValue="99.727019999999996" maxValue="4242.4871199999989"/>
    </cacheField>
    <cacheField name="Total" numFmtId="2">
      <sharedItems containsSemiMixedTypes="0" containsString="0" containsNumber="1" minValue="117.43182" maxValue="4883.8924199999983"/>
    </cacheField>
    <cacheField name="24K Payment" numFmtId="2">
      <sharedItems containsSemiMixedTypes="0" containsString="0" containsNumber="1" minValue="0.78623999999999994" maxValue="33.986452499999992"/>
    </cacheField>
    <cacheField name="Gold Value for US" numFmtId="2">
      <sharedItems containsSemiMixedTypes="0" containsString="0" containsNumber="1" minValue="117.74626194994129" maxValue="4512.2231422445411"/>
    </cacheField>
    <cacheField name="Necklace" numFmtId="0">
      <sharedItems containsNonDate="0" containsString="0" containsBlank="1"/>
    </cacheField>
    <cacheField name="ID" numFmtId="0">
      <sharedItems count="10">
        <s v="14KB"/>
        <s v="14KP"/>
        <s v="14KR"/>
        <s v="14KE"/>
        <s v="18KB"/>
        <s v="18KE"/>
        <s v="18KN"/>
        <s v="18KP"/>
        <s v="14KN"/>
        <s v="FALSE" u="1"/>
      </sharedItems>
    </cacheField>
    <cacheField name="NO BOX" numFmtId="0">
      <sharedItems containsSemiMixedTypes="0" containsString="0" containsNumber="1" containsInteger="1" minValue="1" maxValue="2" count="2">
        <n v="1"/>
        <n v="2" u="1"/>
      </sharedItems>
    </cacheField>
    <cacheField name="NEW MAKLON" numFmtId="2">
      <sharedItems containsSemiMixedTypes="0" containsString="0" containsNumber="1" minValue="17.704800000000002" maxValue="692.70999999999992"/>
    </cacheField>
    <cacheField name="NEW TOTAL PRICE" numFmtId="2">
      <sharedItems containsSemiMixedTypes="0" containsString="0" containsNumber="1" minValue="117.43182" maxValue="4883.8924199999983"/>
    </cacheField>
    <cacheField name="Dia Value" numFmtId="2">
      <sharedItems containsSemiMixedTypes="0" containsString="0" containsNumber="1" minValue="0" maxValue="1631.0869"/>
    </cacheField>
    <cacheField name="Indonesian Customs" numFmtId="2">
      <sharedItems containsSemiMixedTypes="0" containsString="0" containsNumber="1" minValue="117.43182" maxValue="4883.892419999998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zikry Syahrul" refreshedDate="46078.333108449071" createdVersion="8" refreshedVersion="8" minRefreshableVersion="3" recordCount="149" xr:uid="{7A94B928-EE41-46BB-8E8E-24810CC7F01E}">
  <cacheSource type="worksheet">
    <worksheetSource ref="E3:S152" sheet="Sheet1"/>
  </cacheSource>
  <cacheFields count="15">
    <cacheField name="Q'ty" numFmtId="0">
      <sharedItems containsSemiMixedTypes="0" containsString="0" containsNumber="1" containsInteger="1" minValue="1" maxValue="10"/>
    </cacheField>
    <cacheField name="Total w't" numFmtId="2">
      <sharedItems containsSemiMixedTypes="0" containsString="0" containsNumber="1" minValue="1.3" maxValue="57.039999999999992"/>
    </cacheField>
    <cacheField name="Manufacturing" numFmtId="2">
      <sharedItems containsSemiMixedTypes="0" containsString="0" containsNumber="1" minValue="17.704800000000002" maxValue="692.70999999999992"/>
    </cacheField>
    <cacheField name="US Dia" numFmtId="2">
      <sharedItems containsString="0" containsBlank="1" containsNumber="1" minValue="0" maxValue="1631.0869"/>
    </cacheField>
    <cacheField name="Non-US Dia" numFmtId="2">
      <sharedItems containsString="0" containsBlank="1" containsNumber="1" minValue="24.8531260794473" maxValue="631.82626274749703"/>
    </cacheField>
    <cacheField name="Material cost" numFmtId="2">
      <sharedItems containsSemiMixedTypes="0" containsString="0" containsNumber="1" minValue="99.727019999999996" maxValue="4242.4871199999989"/>
    </cacheField>
    <cacheField name="Total" numFmtId="2">
      <sharedItems containsSemiMixedTypes="0" containsString="0" containsNumber="1" minValue="117.43182" maxValue="4883.8924199999983"/>
    </cacheField>
    <cacheField name="24K Payment" numFmtId="2">
      <sharedItems containsSemiMixedTypes="0" containsString="0" containsNumber="1" minValue="0.78623999999999994" maxValue="33.986452499999992"/>
    </cacheField>
    <cacheField name="Gold Value for US" numFmtId="2">
      <sharedItems containsSemiMixedTypes="0" containsString="0" containsNumber="1" minValue="117.74626194994129" maxValue="4512.2231422445411"/>
    </cacheField>
    <cacheField name="Necklace" numFmtId="0">
      <sharedItems containsNonDate="0" containsString="0" containsBlank="1"/>
    </cacheField>
    <cacheField name="ID" numFmtId="0">
      <sharedItems count="9">
        <s v="14KB"/>
        <s v="14KP"/>
        <s v="14KR"/>
        <s v="14KE"/>
        <s v="18KB"/>
        <s v="18KE"/>
        <s v="18KN"/>
        <s v="18KP"/>
        <s v="14KN"/>
      </sharedItems>
    </cacheField>
    <cacheField name="NO BOX" numFmtId="0">
      <sharedItems containsSemiMixedTypes="0" containsString="0" containsNumber="1" containsInteger="1" minValue="1" maxValue="1"/>
    </cacheField>
    <cacheField name="NEW MAKLON" numFmtId="2">
      <sharedItems containsSemiMixedTypes="0" containsString="0" containsNumber="1" minValue="17.704800000000002" maxValue="692.70999999999992"/>
    </cacheField>
    <cacheField name="NEW TOTAL PRICE" numFmtId="2">
      <sharedItems containsSemiMixedTypes="0" containsString="0" containsNumber="1" minValue="117.43182" maxValue="4883.8924199999983"/>
    </cacheField>
    <cacheField name="Dia Value" numFmtId="2">
      <sharedItems containsSemiMixedTypes="0" containsString="0" containsNumber="1" minValue="17.704800000000002" maxValue="1899.486900000000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9">
  <r>
    <s v="Aaria Inc "/>
    <s v="AAR260114RB-14K"/>
    <s v="K01114TB01 C5 7&quot;"/>
    <s v="14K YG"/>
    <n v="2"/>
    <n v="25.380000000000003"/>
    <n v="268.40000000000003"/>
    <n v="1631.0869"/>
    <m/>
    <n v="3183.4195"/>
    <n v="3451.8195000000001"/>
    <n v="14.37345"/>
    <n v="2346.571826071021"/>
    <m/>
    <x v="0"/>
    <x v="0"/>
    <n v="268.40000000000003"/>
    <n v="3451.8195000000001"/>
    <n v="1631.0869"/>
    <n v="3451.8195000000001"/>
  </r>
  <r>
    <s v="Aaria Inc "/>
    <s v="AAR260114RB-14K"/>
    <s v="K01114TB02 C5 7&quot;"/>
    <s v="14K YG"/>
    <n v="1"/>
    <n v="12.64"/>
    <n v="118.36749999999999"/>
    <n v="471.55035000000004"/>
    <m/>
    <n v="1272.26208"/>
    <n v="1390.62958"/>
    <n v="7.4139974999999998"/>
    <n v="1210.3898265246676"/>
    <m/>
    <x v="0"/>
    <x v="0"/>
    <n v="118.36749999999999"/>
    <n v="1390.62958"/>
    <n v="471.55035000000004"/>
    <n v="1390.62958"/>
  </r>
  <r>
    <s v="Aaria Inc "/>
    <s v="AAR260114RB-14K"/>
    <s v="K02275TB01 C5 7&quot;"/>
    <s v="14K WG"/>
    <n v="1"/>
    <n v="8.18"/>
    <n v="76.9876"/>
    <n v="266.63580000000002"/>
    <m/>
    <n v="788.06033999999988"/>
    <n v="865.04793999999993"/>
    <n v="4.8280049999999992"/>
    <n v="788.20745952641971"/>
    <m/>
    <x v="0"/>
    <x v="0"/>
    <n v="76.9876"/>
    <n v="865.04793999999993"/>
    <n v="266.63580000000002"/>
    <n v="865.04793999999993"/>
  </r>
  <r>
    <s v="Aaria Inc "/>
    <s v="AAR260114RB-14K"/>
    <s v="K02275TB01 C5 7&quot;"/>
    <s v="14K YG"/>
    <n v="2"/>
    <n v="16.450000000000003"/>
    <n v="148.0025"/>
    <n v="533.27160000000003"/>
    <m/>
    <n v="1582.0911900000001"/>
    <n v="1730.0936900000002"/>
    <n v="9.7112925000000008"/>
    <n v="1585.4401953069591"/>
    <m/>
    <x v="0"/>
    <x v="0"/>
    <n v="148.0025"/>
    <n v="1730.0936900000002"/>
    <n v="533.27160000000003"/>
    <n v="1730.0936900000002"/>
  </r>
  <r>
    <s v="Aaria Inc "/>
    <s v="AAR260112RM-14K"/>
    <s v="K0610P49"/>
    <s v="14K WG"/>
    <n v="10"/>
    <n v="8.41"/>
    <n v="78.180000000000007"/>
    <n v="0"/>
    <m/>
    <n v="557.91098999999997"/>
    <n v="636.09098999999992"/>
    <n v="5.1658425000000001"/>
    <n v="843.36192552381567"/>
    <m/>
    <x v="1"/>
    <x v="0"/>
    <n v="78.180000000000007"/>
    <n v="636.09098999999992"/>
    <n v="0"/>
    <n v="636.09098999999992"/>
  </r>
  <r>
    <s v="Aaria Inc "/>
    <s v="AAR260112RM-14K"/>
    <s v="K0610P49"/>
    <s v="14K YG"/>
    <n v="10"/>
    <n v="8.3000000000000007"/>
    <n v="78.400000000000006"/>
    <n v="0"/>
    <m/>
    <n v="550.61369999999999"/>
    <n v="629.01369999999997"/>
    <n v="5.0982750000000001"/>
    <n v="832.33103232433655"/>
    <m/>
    <x v="1"/>
    <x v="0"/>
    <n v="78.400000000000006"/>
    <n v="629.01369999999997"/>
    <n v="0"/>
    <n v="629.01369999999997"/>
  </r>
  <r>
    <s v="Aaria Inc "/>
    <s v="AAR260112RM-14K"/>
    <s v="K0610P44"/>
    <s v="14K WG"/>
    <n v="10"/>
    <n v="11.2"/>
    <n v="84"/>
    <n v="0"/>
    <m/>
    <n v="742.99679999999989"/>
    <n v="826.99679999999989"/>
    <n v="6.879599999999999"/>
    <n v="1123.1454894015142"/>
    <m/>
    <x v="1"/>
    <x v="0"/>
    <n v="84"/>
    <n v="826.99679999999989"/>
    <n v="0"/>
    <n v="826.99679999999989"/>
  </r>
  <r>
    <s v="Aaria Inc "/>
    <s v="AAR260112RM-14K"/>
    <s v="K0610P44"/>
    <s v="14K YG"/>
    <n v="10"/>
    <n v="10.92"/>
    <n v="81.899999999999991"/>
    <n v="0"/>
    <m/>
    <n v="724.42187999999999"/>
    <n v="806.32187999999996"/>
    <n v="6.7076099999999999"/>
    <n v="1095.0668521664763"/>
    <m/>
    <x v="1"/>
    <x v="0"/>
    <n v="81.899999999999991"/>
    <n v="806.32187999999996"/>
    <n v="0"/>
    <n v="806.32187999999996"/>
  </r>
  <r>
    <s v="Aaria Inc "/>
    <s v="AAR260112RM-14K"/>
    <s v="K0610P45"/>
    <s v="14K WG"/>
    <n v="10"/>
    <n v="14.48"/>
    <n v="108.6"/>
    <n v="0"/>
    <m/>
    <n v="960.58871999999997"/>
    <n v="1069.1887199999999"/>
    <n v="8.8943399999999997"/>
    <n v="1452.0666684405292"/>
    <m/>
    <x v="1"/>
    <x v="0"/>
    <n v="108.6"/>
    <n v="1069.1887199999999"/>
    <n v="0"/>
    <n v="1069.1887199999999"/>
  </r>
  <r>
    <s v="Aaria Inc "/>
    <s v="AAR260112RM-14K"/>
    <s v="K0610P45"/>
    <s v="14K YG"/>
    <n v="10"/>
    <n v="14.100000000000001"/>
    <n v="105.75000000000001"/>
    <n v="0"/>
    <m/>
    <n v="935.37990000000002"/>
    <n v="1041.1299000000001"/>
    <n v="8.6609250000000007"/>
    <n v="1413.9599464786922"/>
    <m/>
    <x v="1"/>
    <x v="0"/>
    <n v="105.75000000000001"/>
    <n v="1041.1299000000001"/>
    <n v="0"/>
    <n v="1041.1299000000001"/>
  </r>
  <r>
    <s v="Aaria Inc "/>
    <s v="AAR260112RM-14K"/>
    <s v="K0610P46"/>
    <s v="14K WG"/>
    <n v="10"/>
    <n v="18.169999999999998"/>
    <n v="136.27499999999998"/>
    <n v="0"/>
    <m/>
    <n v="1205.3796299999999"/>
    <n v="1341.65463"/>
    <n v="11.160922499999998"/>
    <n v="1822.1029948594207"/>
    <m/>
    <x v="1"/>
    <x v="0"/>
    <n v="136.27499999999998"/>
    <n v="1341.65463"/>
    <n v="0"/>
    <n v="1341.65463"/>
  </r>
  <r>
    <s v="Aaria Inc "/>
    <s v="AAR260112RM-14K"/>
    <s v="K0610P46"/>
    <s v="14K YG"/>
    <n v="10"/>
    <n v="17.899999999999999"/>
    <n v="134.25"/>
    <n v="0"/>
    <m/>
    <n v="1187.4680999999998"/>
    <n v="1321.7180999999998"/>
    <n v="10.995074999999998"/>
    <n v="1795.0271660970627"/>
    <m/>
    <x v="1"/>
    <x v="0"/>
    <n v="134.25"/>
    <n v="1321.7180999999998"/>
    <n v="0"/>
    <n v="1321.7180999999998"/>
  </r>
  <r>
    <s v="Aaria Inc "/>
    <s v="AAR260112RM-14K"/>
    <s v="K0610P47"/>
    <s v="14K WG"/>
    <n v="10"/>
    <n v="20.13"/>
    <n v="150.97499999999999"/>
    <n v="0"/>
    <m/>
    <n v="1335.4040699999998"/>
    <n v="1486.3790699999997"/>
    <n v="12.364852499999998"/>
    <n v="2018.6534555046856"/>
    <m/>
    <x v="1"/>
    <x v="0"/>
    <n v="150.97499999999999"/>
    <n v="1486.3790699999997"/>
    <n v="0"/>
    <n v="1486.3790699999997"/>
  </r>
  <r>
    <s v="Aaria Inc "/>
    <s v="AAR260112RM-14K"/>
    <s v="K0610P47"/>
    <s v="14K YG"/>
    <n v="10"/>
    <n v="19.599999999999998"/>
    <n v="147"/>
    <n v="0"/>
    <m/>
    <n v="1300.2443999999996"/>
    <n v="1447.2443999999996"/>
    <n v="12.039299999999997"/>
    <n v="1965.5046064526496"/>
    <m/>
    <x v="1"/>
    <x v="0"/>
    <n v="147"/>
    <n v="1447.2443999999996"/>
    <n v="0"/>
    <n v="1447.2443999999996"/>
  </r>
  <r>
    <s v="Aaria Inc "/>
    <s v="AAR260112RM-14K"/>
    <s v="K0610P48"/>
    <s v="14K WG"/>
    <n v="10"/>
    <n v="29.259999999999998"/>
    <n v="219.45"/>
    <n v="0"/>
    <m/>
    <n v="1941.0791399999998"/>
    <n v="2160.5291399999996"/>
    <n v="17.972954999999999"/>
    <n v="2934.217591061456"/>
    <m/>
    <x v="1"/>
    <x v="0"/>
    <n v="219.45"/>
    <n v="2160.5291399999996"/>
    <n v="0"/>
    <n v="2160.5291399999996"/>
  </r>
  <r>
    <s v="Aaria Inc "/>
    <s v="AAR260112RM-14K"/>
    <s v="K0610P48"/>
    <s v="14K YG"/>
    <n v="10"/>
    <n v="28.659999999999997"/>
    <n v="214.95"/>
    <n v="0"/>
    <m/>
    <n v="1901.2757399999996"/>
    <n v="2116.2257399999994"/>
    <n v="17.604404999999996"/>
    <n v="2874.0490827006602"/>
    <m/>
    <x v="1"/>
    <x v="0"/>
    <n v="214.95"/>
    <n v="2116.2257399999994"/>
    <n v="0"/>
    <n v="2116.2257399999994"/>
  </r>
  <r>
    <s v="Aaria Inc "/>
    <s v="AAR260112RM-14K"/>
    <s v="K0610P57"/>
    <s v="14K WG"/>
    <n v="10"/>
    <n v="31.41"/>
    <n v="235.57499999999999"/>
    <n v="0"/>
    <m/>
    <n v="2083.7079899999999"/>
    <n v="2319.2829899999997"/>
    <n v="19.293592499999999"/>
    <n v="3149.8214126876396"/>
    <m/>
    <x v="1"/>
    <x v="0"/>
    <n v="235.57499999999999"/>
    <n v="2319.2829899999997"/>
    <n v="0"/>
    <n v="2319.2829899999997"/>
  </r>
  <r>
    <s v="Aaria Inc "/>
    <s v="AAR260112RM-14K"/>
    <s v="K0610P57"/>
    <s v="14K YG"/>
    <n v="10"/>
    <n v="30.46"/>
    <n v="228.45"/>
    <n v="0"/>
    <m/>
    <n v="2020.6859400000001"/>
    <n v="2249.1359400000001"/>
    <n v="18.710055000000001"/>
    <n v="3054.5546077830472"/>
    <m/>
    <x v="1"/>
    <x v="0"/>
    <n v="228.45"/>
    <n v="2249.1359400000001"/>
    <n v="0"/>
    <n v="2249.1359400000001"/>
  </r>
  <r>
    <s v="Aaria Inc "/>
    <s v="AAR260112RM-14K"/>
    <s v="K0610P58"/>
    <s v="14K WG"/>
    <n v="5"/>
    <n v="16.010000000000002"/>
    <n v="120.07500000000002"/>
    <n v="0"/>
    <m/>
    <n v="1062.0873900000001"/>
    <n v="1182.1623900000002"/>
    <n v="9.8341425000000005"/>
    <n v="1605.4963647605575"/>
    <m/>
    <x v="1"/>
    <x v="0"/>
    <n v="120.07500000000002"/>
    <n v="1182.1623900000002"/>
    <n v="0"/>
    <n v="1182.1623900000002"/>
  </r>
  <r>
    <s v="Aaria Inc "/>
    <s v="AAR260112RM-14K"/>
    <s v="K0610P58"/>
    <s v="14K YG"/>
    <n v="5"/>
    <n v="15.620000000000001"/>
    <n v="117.15"/>
    <n v="0"/>
    <m/>
    <n v="1036.2151800000001"/>
    <n v="1153.3651800000002"/>
    <n v="9.5945850000000004"/>
    <n v="1566.3868343260406"/>
    <m/>
    <x v="1"/>
    <x v="0"/>
    <n v="117.15"/>
    <n v="1153.3651800000002"/>
    <n v="0"/>
    <n v="1153.3651800000002"/>
  </r>
  <r>
    <s v="Aaria Inc "/>
    <s v="AAR260112RM-14K"/>
    <s v="K0214TB56 C4 7&quot;"/>
    <s v="14K WG"/>
    <n v="3"/>
    <n v="24.41"/>
    <n v="115.94750000000002"/>
    <n v="0"/>
    <m/>
    <n v="1619.3349899999998"/>
    <n v="1735.2824899999998"/>
    <n v="14.9938425"/>
    <n v="2447.8554818116932"/>
    <m/>
    <x v="0"/>
    <x v="0"/>
    <n v="115.94750000000002"/>
    <n v="1735.2824899999998"/>
    <n v="0"/>
    <n v="1735.2824899999998"/>
  </r>
  <r>
    <s v="Aaria Inc "/>
    <s v="AAR260112RM-14K"/>
    <s v="K0214TB56 C4 7&quot;"/>
    <s v="14K YG"/>
    <n v="3"/>
    <n v="24.05"/>
    <n v="114.23750000000001"/>
    <n v="0"/>
    <m/>
    <n v="1595.4529499999999"/>
    <n v="1709.6904499999998"/>
    <n v="14.772712499999999"/>
    <n v="2411.7543767952156"/>
    <m/>
    <x v="0"/>
    <x v="0"/>
    <n v="114.23750000000001"/>
    <n v="1709.6904499999998"/>
    <n v="0"/>
    <n v="1709.6904499999998"/>
  </r>
  <r>
    <s v="Aaria Inc "/>
    <s v="AAR260112RM-14K"/>
    <s v="K0214TB90 C4 7&quot;"/>
    <s v="14K WG"/>
    <n v="3"/>
    <n v="25.87"/>
    <n v="122.88249999999999"/>
    <n v="0"/>
    <m/>
    <n v="1716.18993"/>
    <n v="1839.0724299999999"/>
    <n v="15.8906475"/>
    <n v="2594.2655188229619"/>
    <m/>
    <x v="0"/>
    <x v="0"/>
    <n v="122.88249999999999"/>
    <n v="1839.0724299999999"/>
    <n v="0"/>
    <n v="1839.0724299999999"/>
  </r>
  <r>
    <s v="Aaria Inc "/>
    <s v="AAR260112RM-14K"/>
    <s v="K0214TB90 C4 7&quot;"/>
    <s v="14K YG"/>
    <n v="3"/>
    <n v="25.84"/>
    <n v="122.73999999999998"/>
    <n v="0"/>
    <m/>
    <n v="1714.19976"/>
    <n v="1836.93976"/>
    <n v="15.872219999999999"/>
    <n v="2591.2570934049222"/>
    <m/>
    <x v="0"/>
    <x v="0"/>
    <n v="122.73999999999998"/>
    <n v="1836.93976"/>
    <n v="0"/>
    <n v="1836.93976"/>
  </r>
  <r>
    <s v="Aaria Inc "/>
    <s v="AAR260112RM-14K"/>
    <s v="K0214TB59 C4 7&quot;"/>
    <s v="14K WG"/>
    <n v="3"/>
    <n v="27.46"/>
    <n v="130.435"/>
    <n v="0"/>
    <m/>
    <n v="1821.6689399999998"/>
    <n v="1952.1039399999997"/>
    <n v="16.867304999999998"/>
    <n v="2753.7120659790694"/>
    <m/>
    <x v="0"/>
    <x v="0"/>
    <n v="130.435"/>
    <n v="1952.1039399999997"/>
    <n v="0"/>
    <n v="1952.1039399999997"/>
  </r>
  <r>
    <s v="Aaria Inc "/>
    <s v="AAR260112RM-14K"/>
    <s v="K0214TB59 C4 7&quot;"/>
    <s v="14K YG"/>
    <n v="3"/>
    <n v="27.2"/>
    <n v="129.19999999999999"/>
    <n v="0"/>
    <m/>
    <n v="1804.4207999999999"/>
    <n v="1933.6207999999999"/>
    <n v="16.707599999999999"/>
    <n v="2727.6390456893919"/>
    <m/>
    <x v="0"/>
    <x v="0"/>
    <n v="129.19999999999999"/>
    <n v="1933.6207999999999"/>
    <n v="0"/>
    <n v="1933.6207999999999"/>
  </r>
  <r>
    <s v="Aaria Inc "/>
    <s v="AAR260112RM-14K"/>
    <s v="K0214TB60 C4 7&quot; "/>
    <s v="14K WG"/>
    <n v="3"/>
    <n v="30.31"/>
    <n v="143.9725"/>
    <n v="0"/>
    <m/>
    <n v="2010.7350899999997"/>
    <n v="2154.7075899999995"/>
    <n v="18.617917499999997"/>
    <n v="3039.5124806928475"/>
    <m/>
    <x v="0"/>
    <x v="0"/>
    <n v="143.9725"/>
    <n v="2154.7075899999995"/>
    <n v="0"/>
    <n v="2154.7075899999995"/>
  </r>
  <r>
    <s v="Aaria Inc "/>
    <s v="AAR260112RM-14K"/>
    <s v="K0214TB60 C4 7&quot; "/>
    <s v="14K YG"/>
    <n v="3"/>
    <n v="30.23"/>
    <n v="143.5925"/>
    <n v="0"/>
    <m/>
    <n v="2005.42797"/>
    <n v="2149.0204699999999"/>
    <n v="18.568777499999999"/>
    <n v="3031.4900129114085"/>
    <m/>
    <x v="0"/>
    <x v="0"/>
    <n v="143.5925"/>
    <n v="2149.0204699999999"/>
    <n v="0"/>
    <n v="2149.0204699999999"/>
  </r>
  <r>
    <s v="Aaria Inc "/>
    <s v="AAR260112RM-14K"/>
    <s v="K0214TB110 C4 7&quot; "/>
    <s v="14K WG"/>
    <n v="3"/>
    <n v="32.28"/>
    <n v="153.33000000000001"/>
    <n v="0"/>
    <m/>
    <n v="2141.42292"/>
    <n v="2294.7529199999999"/>
    <n v="19.82799"/>
    <n v="3237.065749810793"/>
    <m/>
    <x v="0"/>
    <x v="0"/>
    <n v="153.33000000000001"/>
    <n v="2294.7529199999999"/>
    <n v="0"/>
    <n v="2294.7529199999999"/>
  </r>
  <r>
    <s v="Aaria Inc "/>
    <s v="AAR260112RM-14K"/>
    <s v="K0214TB110 C4 7&quot; "/>
    <s v="14K YG"/>
    <n v="3"/>
    <n v="32.049999999999997"/>
    <n v="152.23749999999998"/>
    <n v="0"/>
    <m/>
    <n v="2126.1649499999999"/>
    <n v="2278.40245"/>
    <n v="19.686712499999999"/>
    <n v="3214.0011549391547"/>
    <m/>
    <x v="0"/>
    <x v="0"/>
    <n v="152.23749999999998"/>
    <n v="2278.40245"/>
    <n v="0"/>
    <n v="2278.40245"/>
  </r>
  <r>
    <s v="Aaria Inc "/>
    <s v="AAR260112RM-14K"/>
    <s v="K0214TB63 C4 7&quot; "/>
    <s v="14K WG"/>
    <n v="3"/>
    <n v="37.32"/>
    <n v="177.26999999999998"/>
    <n v="0"/>
    <m/>
    <n v="2475.7714799999999"/>
    <n v="2653.0414799999999"/>
    <n v="22.92381"/>
    <n v="3742.4812200414744"/>
    <m/>
    <x v="0"/>
    <x v="0"/>
    <n v="177.26999999999998"/>
    <n v="2653.0414799999999"/>
    <n v="0"/>
    <n v="2653.0414799999999"/>
  </r>
  <r>
    <s v="Aaria Inc "/>
    <s v="AAR260112RM-14K"/>
    <s v="K0214TB63 C4 7&quot; "/>
    <s v="14K YG"/>
    <n v="3"/>
    <n v="35.69"/>
    <n v="169.52749999999997"/>
    <n v="0"/>
    <m/>
    <n v="2367.6389099999997"/>
    <n v="2537.1664099999998"/>
    <n v="21.922582499999997"/>
    <n v="3579.0234389946463"/>
    <m/>
    <x v="0"/>
    <x v="0"/>
    <n v="169.52749999999997"/>
    <n v="2537.1664099999998"/>
    <n v="0"/>
    <n v="2537.1664099999998"/>
  </r>
  <r>
    <s v="Aaria Inc "/>
    <s v="AAR260112RM-14K"/>
    <s v="K0214TB64 C4 7&quot; "/>
    <s v="14K WG"/>
    <n v="3"/>
    <n v="38.78"/>
    <n v="184.20499999999998"/>
    <n v="0"/>
    <m/>
    <n v="2572.6264200000001"/>
    <n v="2756.83142"/>
    <n v="23.820615"/>
    <n v="3888.8912570527432"/>
    <m/>
    <x v="0"/>
    <x v="0"/>
    <n v="184.20499999999998"/>
    <n v="2756.83142"/>
    <n v="0"/>
    <n v="2756.83142"/>
  </r>
  <r>
    <s v="Aaria Inc "/>
    <s v="AAR260112RM-14K"/>
    <s v="K0214TB64 C4 7&quot; "/>
    <s v="14K YG"/>
    <n v="3"/>
    <n v="38.6"/>
    <n v="183.35000000000002"/>
    <n v="0"/>
    <m/>
    <n v="2560.6853999999998"/>
    <n v="2744.0353999999998"/>
    <n v="23.710049999999999"/>
    <n v="3870.8407045445047"/>
    <m/>
    <x v="0"/>
    <x v="0"/>
    <n v="183.35000000000002"/>
    <n v="2744.0353999999998"/>
    <n v="0"/>
    <n v="2744.0353999999998"/>
  </r>
  <r>
    <s v="Aaria Inc "/>
    <s v="AAR260112RM-14K"/>
    <s v="K0214TB65 C4 7&quot; "/>
    <s v="14K WG"/>
    <n v="2"/>
    <n v="30.08"/>
    <n v="142.88"/>
    <n v="0"/>
    <m/>
    <n v="1995.4771199999996"/>
    <n v="2138.3571199999997"/>
    <n v="18.476639999999996"/>
    <n v="3016.4478858212092"/>
    <m/>
    <x v="0"/>
    <x v="0"/>
    <n v="142.88"/>
    <n v="2138.3571199999997"/>
    <n v="0"/>
    <n v="2138.3571199999997"/>
  </r>
  <r>
    <s v="Aaria Inc "/>
    <s v="AAR260112RM-14K"/>
    <s v="K0214TB65 C4 7&quot; "/>
    <s v="14K YG"/>
    <n v="2"/>
    <n v="29.52"/>
    <n v="140.22"/>
    <n v="0"/>
    <m/>
    <n v="1958.3272799999997"/>
    <n v="2098.5472799999998"/>
    <n v="18.132659999999998"/>
    <n v="2960.290611351134"/>
    <m/>
    <x v="0"/>
    <x v="0"/>
    <n v="140.22"/>
    <n v="2098.5472799999998"/>
    <n v="0"/>
    <n v="2098.5472799999998"/>
  </r>
  <r>
    <s v="Aaria Inc "/>
    <s v="AAR260112RM-14K"/>
    <s v="K0214TB67 C4 7&quot; "/>
    <s v="14K WG"/>
    <n v="2"/>
    <n v="34.6"/>
    <n v="164.35000000000002"/>
    <n v="0"/>
    <m/>
    <n v="2295.3293999999996"/>
    <n v="2459.6793999999995"/>
    <n v="21.253049999999998"/>
    <n v="3469.7173154725351"/>
    <m/>
    <x v="0"/>
    <x v="0"/>
    <n v="164.35000000000002"/>
    <n v="2459.6793999999995"/>
    <n v="0"/>
    <n v="2459.6793999999995"/>
  </r>
  <r>
    <s v="Aaria Inc "/>
    <s v="AAR260112RM-14K"/>
    <s v="K0214TB67 C4 7&quot; "/>
    <s v="14K YG"/>
    <n v="2"/>
    <n v="33.799999999999997"/>
    <n v="160.54999999999998"/>
    <n v="0"/>
    <m/>
    <n v="2242.2581999999998"/>
    <n v="2402.8081999999999"/>
    <n v="20.761649999999996"/>
    <n v="3389.4926376581407"/>
    <m/>
    <x v="0"/>
    <x v="0"/>
    <n v="160.54999999999998"/>
    <n v="2402.8081999999999"/>
    <n v="0"/>
    <n v="2402.8081999999999"/>
  </r>
  <r>
    <s v="Amipi Inc "/>
    <s v="API251209RB-14K"/>
    <s v="K0038B12 OV H 6.75&quot;"/>
    <s v="14K YG"/>
    <n v="1"/>
    <n v="5.73"/>
    <n v="66.64"/>
    <n v="153.06870000000001"/>
    <m/>
    <n v="499.35827999999992"/>
    <n v="565.99827999999991"/>
    <n v="3.2063849999999996"/>
    <n v="452.32187178468666"/>
    <m/>
    <x v="0"/>
    <x v="0"/>
    <n v="66.64"/>
    <n v="565.99827999999991"/>
    <n v="153.06870000000001"/>
    <n v="565.99827999999991"/>
  </r>
  <r>
    <s v="Amipi Inc "/>
    <s v="API251215RB-14K"/>
    <s v="K0038B116 OV F 7.5&quot;"/>
    <s v="14K YG"/>
    <n v="1"/>
    <n v="6.9"/>
    <n v="93.460000000000008"/>
    <n v="357.16030000000001"/>
    <m/>
    <n v="762.49158999999997"/>
    <n v="855.95159000000001"/>
    <n v="3.7530674999999998"/>
    <n v="537.52799011570232"/>
    <m/>
    <x v="0"/>
    <x v="0"/>
    <n v="93.460000000000008"/>
    <n v="855.95159000000001"/>
    <n v="357.16030000000001"/>
    <n v="855.95159000000001"/>
  </r>
  <r>
    <s v="Crystal Abrasive"/>
    <s v="CA251212RB-14K"/>
    <s v="K02366R01 #5.5-7.5"/>
    <s v="14K WG"/>
    <n v="1"/>
    <n v="7.58"/>
    <n v="104.86459999999998"/>
    <n v="330.00295"/>
    <m/>
    <n v="798.35628999999994"/>
    <n v="903.22088999999994"/>
    <n v="4.3366049999999996"/>
    <n v="632.82051547390165"/>
    <m/>
    <x v="2"/>
    <x v="0"/>
    <n v="104.86459999999998"/>
    <n v="903.22088999999994"/>
    <n v="330.00295"/>
    <n v="903.22088999999994"/>
  </r>
  <r>
    <s v="Dinaro"/>
    <s v="DIN251203RB-14K"/>
    <s v="K0060B01 6.75&quot;"/>
    <s v="14K WG"/>
    <n v="1"/>
    <n v="4.0999999999999996"/>
    <n v="29.443999999999996"/>
    <n v="20.57375"/>
    <m/>
    <n v="246.12634999999995"/>
    <n v="275.57034999999996"/>
    <n v="2.0884499999999995"/>
    <n v="285.19604887874345"/>
    <m/>
    <x v="0"/>
    <x v="0"/>
    <n v="29.443999999999996"/>
    <n v="275.57034999999996"/>
    <n v="20.57375"/>
    <n v="275.57034999999996"/>
  </r>
  <r>
    <s v="Dinaro"/>
    <s v="DIN260108RB-14K"/>
    <s v="K0060B01 6.25&quot;"/>
    <s v="14K WG"/>
    <n v="1"/>
    <n v="4.0199999999999996"/>
    <n v="35.302999999999997"/>
    <n v="20.57375"/>
    <m/>
    <n v="239.49244999999996"/>
    <n v="274.79544999999996"/>
    <n v="2.0270249999999996"/>
    <n v="303.56458158969241"/>
    <m/>
    <x v="0"/>
    <x v="0"/>
    <n v="35.302999999999997"/>
    <n v="274.79544999999996"/>
    <n v="20.57375"/>
    <n v="274.79544999999996"/>
  </r>
  <r>
    <s v="Dinaro"/>
    <s v="DIN260106RB-1-14K"/>
    <s v="K0249B01 OV H 6.75&quot;"/>
    <s v="14K WG"/>
    <n v="2"/>
    <n v="12.42"/>
    <n v="263.09350000000001"/>
    <n v="158.82935000000001"/>
    <m/>
    <n v="911.77699999999993"/>
    <n v="1174.8705"/>
    <n v="6.9717374999999997"/>
    <n v="1044.078182134245"/>
    <m/>
    <x v="0"/>
    <x v="0"/>
    <n v="263.09350000000001"/>
    <n v="1174.8705"/>
    <n v="158.82935000000001"/>
    <n v="1174.8705"/>
  </r>
  <r>
    <s v="Dinaro"/>
    <s v="DIN260106RB-1-14K"/>
    <s v="K0249B01 OV H 6.75&quot;"/>
    <s v="14K YG"/>
    <n v="1"/>
    <n v="6.21"/>
    <n v="93.935000000000002"/>
    <n v="81.472049999999996"/>
    <m/>
    <n v="457.61417999999992"/>
    <n v="551.54917999999998"/>
    <n v="3.4827974999999998"/>
    <n v="521.57914473138055"/>
    <m/>
    <x v="0"/>
    <x v="0"/>
    <n v="93.935000000000002"/>
    <n v="551.54917999999998"/>
    <n v="81.472049999999996"/>
    <n v="551.54917999999998"/>
  </r>
  <r>
    <s v="Dinaro"/>
    <s v="DIN260106RB-2-14K"/>
    <s v="K0582E01"/>
    <s v="14K YG"/>
    <n v="2"/>
    <n v="2.64"/>
    <n v="34.67"/>
    <n v="26.334400000000002"/>
    <m/>
    <n v="198.81579999999997"/>
    <n v="233.48579999999998"/>
    <n v="1.5970499999999999"/>
    <n v="239.17209458581823"/>
    <m/>
    <x v="3"/>
    <x v="0"/>
    <n v="34.67"/>
    <n v="233.48579999999998"/>
    <n v="26.334400000000002"/>
    <n v="233.48579999999998"/>
  </r>
  <r>
    <s v="Dinaro"/>
    <s v="DIN260106RB-2-14K"/>
    <s v="K0582E01"/>
    <s v="14K WG"/>
    <n v="1"/>
    <n v="1.3"/>
    <n v="17.704800000000002"/>
    <n v="14.8131"/>
    <m/>
    <n v="99.727019999999996"/>
    <n v="117.43182"/>
    <n v="0.78623999999999994"/>
    <n v="117.74626194994129"/>
    <m/>
    <x v="3"/>
    <x v="0"/>
    <n v="17.704800000000002"/>
    <n v="117.43182"/>
    <n v="14.8131"/>
    <n v="117.43182"/>
  </r>
  <r>
    <s v="Dinaro"/>
    <s v="DIN260109RB-14K"/>
    <s v="K0642E03 0.75&quot;"/>
    <s v="14K WG"/>
    <n v="1"/>
    <n v="2.92"/>
    <n v="50.983200000000004"/>
    <n v="87.232700000000008"/>
    <m/>
    <n v="270.99173000000002"/>
    <n v="321.97493000000003"/>
    <n v="1.7014724999999999"/>
    <n v="254.81027000104481"/>
    <m/>
    <x v="3"/>
    <x v="0"/>
    <n v="50.983200000000004"/>
    <n v="321.97493000000003"/>
    <n v="87.232700000000008"/>
    <n v="321.97493000000003"/>
  </r>
  <r>
    <s v="Dinaro"/>
    <s v="DIN260109RB-14K"/>
    <s v="K0642E03 0.75&quot;"/>
    <s v="14K YG"/>
    <n v="2"/>
    <n v="5.74"/>
    <n v="98.920000000000016"/>
    <n v="174.46540000000002"/>
    <m/>
    <n v="535.34956"/>
    <n v="634.26955999999996"/>
    <n v="3.34152"/>
    <n v="500.42161328725052"/>
    <m/>
    <x v="3"/>
    <x v="0"/>
    <n v="98.920000000000016"/>
    <n v="634.26955999999996"/>
    <n v="174.46540000000002"/>
    <n v="634.26955999999996"/>
  </r>
  <r>
    <s v="Dinaro"/>
    <s v="DIN260109RB-14K"/>
    <s v="K0038E02"/>
    <s v="14K WG"/>
    <n v="1"/>
    <n v="7.25"/>
    <n v="66.5976"/>
    <n v="86.409750000000003"/>
    <m/>
    <n v="541.49528999999995"/>
    <n v="608.0928899999999"/>
    <n v="4.213754999999999"/>
    <n v="631.04637263796656"/>
    <m/>
    <x v="3"/>
    <x v="0"/>
    <n v="66.5976"/>
    <n v="608.0928899999999"/>
    <n v="86.409750000000003"/>
    <n v="608.0928899999999"/>
  </r>
  <r>
    <s v="Dinaro"/>
    <s v="DIN260109RB-14K"/>
    <s v="K0038E02"/>
    <s v="14K YG"/>
    <n v="2"/>
    <n v="14.35"/>
    <n v="126.7075"/>
    <n v="176.1113"/>
    <m/>
    <n v="1076.3315299999997"/>
    <n v="1203.0390299999997"/>
    <n v="8.3353724999999983"/>
    <n v="1248.2943552036743"/>
    <m/>
    <x v="3"/>
    <x v="0"/>
    <n v="126.7075"/>
    <n v="1203.0390299999997"/>
    <n v="176.1113"/>
    <n v="1203.0390299999997"/>
  </r>
  <r>
    <s v="Dinaro"/>
    <s v="DIN251215RB-14K"/>
    <s v="K0038B17 OV H 6.5&quot;"/>
    <s v="14K YG"/>
    <n v="2"/>
    <n v="10.09"/>
    <n v="96.87"/>
    <n v="194.21619999999999"/>
    <m/>
    <n v="806.52517"/>
    <n v="903.39517000000001"/>
    <n v="5.6695275000000001"/>
    <n v="827.32767107990276"/>
    <m/>
    <x v="0"/>
    <x v="0"/>
    <n v="96.87"/>
    <n v="903.39517000000001"/>
    <n v="194.21619999999999"/>
    <n v="903.39517000000001"/>
  </r>
  <r>
    <s v="Dinaro"/>
    <s v="DIN251215RB-14K"/>
    <s v="K0038B17 OV H 6.75&quot;"/>
    <s v="14K YG"/>
    <n v="6"/>
    <n v="31.36"/>
    <n v="297.82"/>
    <n v="582.64859999999999"/>
    <m/>
    <n v="2487.9046799999996"/>
    <n v="2785.7246799999998"/>
    <n v="17.641259999999999"/>
    <n v="2574.3066861771185"/>
    <m/>
    <x v="0"/>
    <x v="0"/>
    <n v="297.82"/>
    <n v="2785.7246799999998"/>
    <n v="582.64859999999999"/>
    <n v="2785.7246799999998"/>
  </r>
  <r>
    <s v="Dinaro"/>
    <s v="DIN251215RB-14K"/>
    <s v="K0060B01 6.75&quot;"/>
    <s v="14K YG"/>
    <n v="6"/>
    <n v="24.849999999999998"/>
    <n v="170.05"/>
    <n v="126.7343"/>
    <m/>
    <n v="1496.63465"/>
    <n v="1666.6846499999999"/>
    <n v="12.684262499999999"/>
    <n v="1850.9551904442026"/>
    <m/>
    <x v="0"/>
    <x v="0"/>
    <n v="170.05"/>
    <n v="1666.6846499999999"/>
    <n v="126.7343"/>
    <n v="1666.6846499999999"/>
  </r>
  <r>
    <s v="Dinaro"/>
    <s v="DIN251215RB-14K"/>
    <s v="K0098B286 6.75&quot;"/>
    <s v="14K YG"/>
    <n v="3"/>
    <n v="19.39"/>
    <n v="229.58000000000004"/>
    <n v="293.79314999999997"/>
    <m/>
    <n v="1492.5388800000001"/>
    <n v="1722.11888"/>
    <n v="11.0994975"/>
    <n v="1619.6978349310773"/>
    <m/>
    <x v="0"/>
    <x v="0"/>
    <n v="229.58000000000004"/>
    <n v="1722.11888"/>
    <n v="293.79314999999997"/>
    <n v="1722.11888"/>
  </r>
  <r>
    <s v="Dinaro"/>
    <s v="DIN251217RB-14K"/>
    <s v="K0098B33 6.75&quot;"/>
    <s v="14K YG"/>
    <n v="2"/>
    <n v="10.260000000000002"/>
    <n v="133.48000000000002"/>
    <n v="35.386850000000003"/>
    <m/>
    <n v="651.01276999999993"/>
    <n v="784.49276999999995"/>
    <n v="5.70024"/>
    <n v="831.80940277589355"/>
    <m/>
    <x v="0"/>
    <x v="0"/>
    <n v="133.48000000000002"/>
    <n v="784.49276999999995"/>
    <n v="35.386850000000003"/>
    <n v="784.49276999999995"/>
  </r>
  <r>
    <s v="Dinaro"/>
    <s v="DIN251217RB-14K"/>
    <s v="K0098B33 6.75&quot;"/>
    <s v="14K WG"/>
    <n v="3"/>
    <n v="15.379999999999999"/>
    <n v="155.94450000000001"/>
    <n v="160.47525000000002"/>
    <m/>
    <n v="1085.9042999999999"/>
    <n v="1241.8488"/>
    <n v="8.5687874999999991"/>
    <n v="1250.4031431814346"/>
    <m/>
    <x v="0"/>
    <x v="0"/>
    <n v="155.94450000000001"/>
    <n v="1241.8488"/>
    <n v="160.47525000000002"/>
    <n v="1241.8488"/>
  </r>
  <r>
    <s v="Dinaro"/>
    <s v="DIN251217RB-14K"/>
    <s v="K0098B33 6.75&quot;"/>
    <s v="14K YG"/>
    <n v="5"/>
    <n v="25.72"/>
    <n v="250.89999999999998"/>
    <n v="269.10464999999999"/>
    <m/>
    <n v="1816.1301299999998"/>
    <n v="2067.0301299999996"/>
    <n v="14.324309999999997"/>
    <n v="2090.2796630101111"/>
    <m/>
    <x v="0"/>
    <x v="0"/>
    <n v="250.89999999999998"/>
    <n v="2067.0301299999996"/>
    <n v="269.10464999999999"/>
    <n v="2067.0301299999996"/>
  </r>
  <r>
    <s v="Dinaro"/>
    <s v="DIN251217RB-14K"/>
    <s v="K0098B33 6.75&quot;"/>
    <s v="14K RG"/>
    <n v="2"/>
    <n v="10.059999999999999"/>
    <n v="98.724999999999966"/>
    <n v="106.16055"/>
    <m/>
    <n v="710.50883999999974"/>
    <n v="809.23383999999965"/>
    <n v="5.5958174999999981"/>
    <n v="816.57151500952455"/>
    <m/>
    <x v="0"/>
    <x v="0"/>
    <n v="98.724999999999966"/>
    <n v="809.23383999999965"/>
    <n v="106.16055"/>
    <n v="809.23383999999965"/>
  </r>
  <r>
    <s v="Dinaro"/>
    <s v="DIN251217RB-14K"/>
    <s v="K0165B01 OV H 6.75&quot;"/>
    <s v="14K YG"/>
    <n v="3"/>
    <n v="17.420000000000002"/>
    <n v="135.05000000000001"/>
    <n v="93.816300000000012"/>
    <m/>
    <n v="1177.79556"/>
    <n v="1312.84556"/>
    <n v="10.036845"/>
    <n v="1464.6299182497953"/>
    <m/>
    <x v="0"/>
    <x v="0"/>
    <n v="135.05000000000001"/>
    <n v="1312.84556"/>
    <n v="93.816300000000012"/>
    <n v="1312.84556"/>
  </r>
  <r>
    <s v="Dinaro"/>
    <s v="DIN251218RB-14K"/>
    <s v="K0060B01 6&quot;"/>
    <s v="14K YG"/>
    <n v="1"/>
    <n v="3.89"/>
    <n v="27"/>
    <n v="21.396700000000003"/>
    <m/>
    <n v="236.99845000000002"/>
    <n v="263.99845000000005"/>
    <n v="1.9963125000000002"/>
    <n v="284.16563504911028"/>
    <m/>
    <x v="0"/>
    <x v="0"/>
    <n v="27"/>
    <n v="263.99845000000005"/>
    <n v="21.396700000000003"/>
    <n v="263.99845000000005"/>
  </r>
  <r>
    <s v="Dinaro"/>
    <s v="DIN251218RB-14K"/>
    <s v="K0060B01 6.5&quot;"/>
    <s v="14K YG"/>
    <n v="2"/>
    <n v="7.92"/>
    <n v="54.42"/>
    <n v="42.793400000000005"/>
    <m/>
    <n v="477.97724000000005"/>
    <n v="532.39724000000001"/>
    <n v="4.0294800000000004"/>
    <n v="573.57740489912726"/>
    <m/>
    <x v="0"/>
    <x v="0"/>
    <n v="54.42"/>
    <n v="532.39724000000001"/>
    <n v="42.793400000000005"/>
    <n v="532.39724000000001"/>
  </r>
  <r>
    <s v="Dinaro"/>
    <s v="DIN260113RB-14K"/>
    <s v="K0151B01 OV H 6.5&quot;"/>
    <s v="14K WG"/>
    <n v="1"/>
    <n v="5.52"/>
    <n v="85.090999999999994"/>
    <n v="34.563899999999997"/>
    <m/>
    <n v="372.89279999999991"/>
    <n v="457.98379999999992"/>
    <n v="3.1326749999999994"/>
    <n v="469.1452624567973"/>
    <m/>
    <x v="0"/>
    <x v="0"/>
    <n v="85.090999999999994"/>
    <n v="457.98379999999992"/>
    <n v="34.563899999999997"/>
    <n v="457.98379999999992"/>
  </r>
  <r>
    <s v="Dinaro"/>
    <s v="DIN260113RB-14K"/>
    <s v="K0151B01 OV H 6.5&quot;"/>
    <s v="14K YG"/>
    <n v="1"/>
    <n v="5.38"/>
    <n v="82.02"/>
    <n v="34.563899999999997"/>
    <m/>
    <n v="363.60533999999996"/>
    <n v="445.62533999999994"/>
    <n v="3.0466799999999998"/>
    <n v="456.26676505602251"/>
    <m/>
    <x v="0"/>
    <x v="0"/>
    <n v="82.02"/>
    <n v="445.62533999999994"/>
    <n v="34.563899999999997"/>
    <n v="445.62533999999994"/>
  </r>
  <r>
    <s v="Dinaro"/>
    <s v="DIN260113RB-14K"/>
    <s v="K0151B01 OV H 6.25&quot;"/>
    <s v="14K YG"/>
    <n v="1"/>
    <n v="5.31"/>
    <n v="81.599999999999994"/>
    <n v="34.563899999999997"/>
    <m/>
    <n v="359.62499999999989"/>
    <n v="441.22499999999991"/>
    <n v="3.0098249999999993"/>
    <n v="450.74740902711898"/>
    <m/>
    <x v="0"/>
    <x v="0"/>
    <n v="81.599999999999994"/>
    <n v="441.22499999999991"/>
    <n v="34.563899999999997"/>
    <n v="441.22499999999991"/>
  </r>
  <r>
    <s v="Dinaro"/>
    <s v="DIN260114RB-14K"/>
    <s v="K0582E01"/>
    <s v="14K YG"/>
    <n v="2"/>
    <n v="2.68"/>
    <n v="34.980000000000004"/>
    <n v="24.688500000000001"/>
    <m/>
    <n v="199.82346000000001"/>
    <n v="234.80346000000003"/>
    <n v="1.6216200000000001"/>
    <n v="259.00175650071537"/>
    <m/>
    <x v="3"/>
    <x v="0"/>
    <n v="34.980000000000004"/>
    <n v="234.80346000000003"/>
    <n v="24.688500000000001"/>
    <n v="234.80346000000003"/>
  </r>
  <r>
    <s v="David Weisz and Sons "/>
    <s v="DWS251209DB-1-18K"/>
    <s v="K01638TB11 C4 7&quot;"/>
    <s v="18K YG"/>
    <n v="1"/>
    <n v="13.29"/>
    <n v="420.25"/>
    <n v="1172.7037500000001"/>
    <m/>
    <n v="2181.3967500000003"/>
    <n v="2601.6467500000003"/>
    <n v="9.3397500000000004"/>
    <n v="1524.7831392287042"/>
    <m/>
    <x v="4"/>
    <x v="0"/>
    <n v="420.25"/>
    <n v="2601.6467500000003"/>
    <n v="1172.7037500000001"/>
    <n v="2601.6467500000003"/>
  </r>
  <r>
    <s v="David Weisz and Sons "/>
    <s v="DWS251209DB-1-18K"/>
    <s v="K02086TB01 C4 7&quot;"/>
    <s v="18K WG"/>
    <n v="1"/>
    <n v="13.2"/>
    <n v="520.0652"/>
    <n v="1217.1430499999999"/>
    <m/>
    <n v="2213.9290499999997"/>
    <n v="2733.9942499999997"/>
    <n v="9.2294999999999998"/>
    <n v="1506.7840127959876"/>
    <m/>
    <x v="4"/>
    <x v="0"/>
    <n v="520.0652"/>
    <n v="2733.9942499999997"/>
    <n v="1217.1430499999999"/>
    <n v="2733.9942499999997"/>
  </r>
  <r>
    <s v="David Weisz and Sons "/>
    <s v="DWS251209DB-1-18K"/>
    <s v="K03593TB01  C4 7&quot;"/>
    <s v="18K YG"/>
    <n v="1"/>
    <n v="10.15"/>
    <n v="425.1"/>
    <n v="948.03840000000002"/>
    <m/>
    <n v="1713.4884000000002"/>
    <n v="2138.5884000000001"/>
    <n v="7.0875000000000004"/>
    <n v="1157.0866992460656"/>
    <m/>
    <x v="4"/>
    <x v="0"/>
    <n v="425.1"/>
    <n v="2138.5884000000001"/>
    <n v="948.03840000000002"/>
    <n v="2138.5884000000001"/>
  </r>
  <r>
    <s v="David Weisz and Sons "/>
    <s v="DWS251209DB-1-18K"/>
    <s v="K03599E01"/>
    <s v="18K WG"/>
    <n v="1"/>
    <n v="2.4700000000000002"/>
    <n v="168.33169999999998"/>
    <n v="79.826149999999998"/>
    <m/>
    <n v="169.97915"/>
    <n v="338.31084999999996"/>
    <n v="0.8347500000000001"/>
    <n v="136.27910013342552"/>
    <m/>
    <x v="5"/>
    <x v="0"/>
    <n v="168.33169999999998"/>
    <n v="338.31084999999996"/>
    <n v="79.826149999999998"/>
    <n v="338.31084999999996"/>
  </r>
  <r>
    <s v="David Weisz and Sons "/>
    <s v="DWS251209DB-1-18K"/>
    <s v="K03599E01"/>
    <s v="18K YG"/>
    <n v="1"/>
    <n v="2.54"/>
    <n v="17.779999999999998"/>
    <n v="79.003199999999993"/>
    <m/>
    <n v="175.10969999999998"/>
    <n v="192.88969999999998"/>
    <n v="0.88987499999999997"/>
    <n v="145.27866334978378"/>
    <m/>
    <x v="5"/>
    <x v="0"/>
    <n v="17.779999999999998"/>
    <n v="192.88969999999998"/>
    <n v="79.003199999999993"/>
    <n v="192.88969999999998"/>
  </r>
  <r>
    <s v="David Weisz and Sons "/>
    <s v="DWS251209DB-1-18K"/>
    <s v="K03599E02"/>
    <s v="18K WG"/>
    <n v="1"/>
    <n v="2.8"/>
    <n v="180.69060000000002"/>
    <n v="111.92120000000001"/>
    <m/>
    <n v="226.73869999999999"/>
    <n v="407.42930000000001"/>
    <n v="1.0631249999999999"/>
    <n v="173.56300488690982"/>
    <m/>
    <x v="5"/>
    <x v="0"/>
    <n v="180.69060000000002"/>
    <n v="407.42930000000001"/>
    <n v="111.92120000000001"/>
    <n v="407.42930000000001"/>
  </r>
  <r>
    <s v="David Weisz and Sons "/>
    <s v="DWS251209DB-1-18K"/>
    <s v="K03599E02"/>
    <s v="18K YG"/>
    <n v="1"/>
    <n v="2.93"/>
    <n v="30.32"/>
    <n v="125.08840000000001"/>
    <m/>
    <n v="250.11190000000005"/>
    <n v="280.43190000000004"/>
    <n v="1.1576250000000003"/>
    <n v="188.99082754352409"/>
    <m/>
    <x v="5"/>
    <x v="0"/>
    <n v="30.32"/>
    <n v="280.43190000000004"/>
    <n v="125.08840000000001"/>
    <n v="280.43190000000004"/>
  </r>
  <r>
    <s v="David Weisz and Sons "/>
    <s v="DWS251209DB-1-18K"/>
    <s v="K03599E03"/>
    <s v="18K WG"/>
    <n v="1"/>
    <n v="3.01"/>
    <n v="181.78030000000001"/>
    <n v="146.48510000000002"/>
    <m/>
    <n v="275.7611"/>
    <n v="457.54140000000001"/>
    <n v="1.1969999999999998"/>
    <n v="195.41908698377995"/>
    <m/>
    <x v="5"/>
    <x v="0"/>
    <n v="181.78030000000001"/>
    <n v="457.54140000000001"/>
    <n v="146.48510000000002"/>
    <n v="457.54140000000001"/>
  </r>
  <r>
    <s v="David Weisz and Sons "/>
    <s v="DWS251209DB-1-18K"/>
    <s v="K03599E03"/>
    <s v="18K YG"/>
    <n v="1"/>
    <n v="3.16"/>
    <n v="31.460000000000004"/>
    <n v="152.24575000000002"/>
    <m/>
    <n v="293.42875000000004"/>
    <n v="324.88875000000002"/>
    <n v="1.3072500000000002"/>
    <n v="213.41821341649657"/>
    <m/>
    <x v="5"/>
    <x v="0"/>
    <n v="31.460000000000004"/>
    <n v="324.88875000000002"/>
    <n v="152.24575000000002"/>
    <n v="324.88875000000002"/>
  </r>
  <r>
    <s v="David Weisz and Sons "/>
    <s v="DWS251209DB-1-18K"/>
    <s v="K02705E02 1&quot;"/>
    <s v="18K WG"/>
    <n v="1"/>
    <n v="5.66"/>
    <n v="237.66460000000001"/>
    <n v="491.30115000000001"/>
    <m/>
    <n v="921.65415000000007"/>
    <n v="1159.3187500000001"/>
    <n v="3.9847500000000009"/>
    <n v="650.53985535389927"/>
    <m/>
    <x v="5"/>
    <x v="0"/>
    <n v="237.66460000000001"/>
    <n v="1159.3187500000001"/>
    <n v="491.30115000000001"/>
    <n v="1159.3187500000001"/>
  </r>
  <r>
    <s v="David Weisz and Sons "/>
    <s v="DWS260119RB-18K"/>
    <s v="K0218TB49 7&quot;"/>
    <s v="18K WG"/>
    <n v="1"/>
    <n v="6.06"/>
    <n v="88.84259999999999"/>
    <n v="162.94409999999999"/>
    <m/>
    <n v="661.33709999999996"/>
    <n v="750.17969999999991"/>
    <n v="4.6147499999999999"/>
    <n v="753.39200639799378"/>
    <m/>
    <x v="4"/>
    <x v="0"/>
    <n v="88.84259999999999"/>
    <n v="750.17969999999991"/>
    <n v="162.94409999999999"/>
    <n v="750.17969999999991"/>
  </r>
  <r>
    <s v="David Weisz and Sons "/>
    <s v="DWS260119RB-18K"/>
    <s v="K0639N262 16+1+1&quot;"/>
    <s v="18K YG"/>
    <n v="2"/>
    <n v="5.2200000000000006"/>
    <n v="126.965"/>
    <n v="322.59640000000002"/>
    <m/>
    <n v="733.38790000000017"/>
    <n v="860.3529000000002"/>
    <n v="3.8036250000000011"/>
    <n v="620.96986192872203"/>
    <m/>
    <x v="6"/>
    <x v="0"/>
    <n v="126.965"/>
    <n v="860.3529000000002"/>
    <n v="322.59640000000002"/>
    <n v="860.3529000000002"/>
  </r>
  <r>
    <s v="David Weisz and Sons "/>
    <s v="DWS251223RB-14K"/>
    <s v="K02130E01"/>
    <s v="14K RG"/>
    <n v="1"/>
    <n v="2.37"/>
    <n v="50.445"/>
    <n v="83.940899999999999"/>
    <m/>
    <n v="234.53043"/>
    <n v="284.97543000000002"/>
    <n v="1.3943474999999999"/>
    <n v="227.63752329834261"/>
    <m/>
    <x v="3"/>
    <x v="0"/>
    <n v="50.445"/>
    <n v="284.97543000000002"/>
    <n v="83.940899999999999"/>
    <n v="284.97543000000002"/>
  </r>
  <r>
    <s v="David Weisz and Sons "/>
    <s v="DWS251212DB-1-18K"/>
    <s v="K03613P01"/>
    <s v="18K WG"/>
    <n v="1"/>
    <n v="1.94"/>
    <n v="172.07060000000001"/>
    <n v="232.0719"/>
    <m/>
    <n v="373.25490000000002"/>
    <n v="545.32550000000003"/>
    <n v="1.30725"/>
    <n v="213.41821341649654"/>
    <m/>
    <x v="7"/>
    <x v="0"/>
    <n v="172.07060000000001"/>
    <n v="545.32550000000003"/>
    <n v="232.0719"/>
    <n v="545.32550000000003"/>
  </r>
  <r>
    <s v="David Weisz and Sons "/>
    <s v="DWS251212DB-1-18K"/>
    <s v="K03615N01 16+2&quot;"/>
    <s v="18K YG"/>
    <n v="1"/>
    <n v="4.57"/>
    <n v="180.36499999999998"/>
    <n v="112.74415"/>
    <m/>
    <n v="489.51565000000005"/>
    <n v="669.88065000000006"/>
    <n v="3.4886250000000008"/>
    <n v="569.5437864066746"/>
    <m/>
    <x v="6"/>
    <x v="0"/>
    <n v="180.36499999999998"/>
    <n v="669.88065000000006"/>
    <n v="112.74415"/>
    <n v="669.88065000000006"/>
  </r>
  <r>
    <s v="David Weisz and Sons "/>
    <s v="DWS251212DB-1-18K"/>
    <s v="K03615N02 16+2&quot;"/>
    <s v="18K WG"/>
    <n v="1"/>
    <n v="4.4000000000000004"/>
    <n v="181.79480000000001"/>
    <n v="114.39004999999999"/>
    <m/>
    <n v="476.70305000000008"/>
    <n v="658.49785000000008"/>
    <n v="3.354750000000001"/>
    <n v="547.68770430980453"/>
    <m/>
    <x v="6"/>
    <x v="0"/>
    <n v="181.79480000000001"/>
    <n v="658.49785000000008"/>
    <n v="114.39004999999999"/>
    <n v="658.49785000000008"/>
  </r>
  <r>
    <s v="David Weisz and Sons "/>
    <s v="DWS251212DB-1-18K"/>
    <s v="K03617N02 16+2&quot;"/>
    <s v="18K YG"/>
    <n v="1"/>
    <n v="3.71"/>
    <n v="173.94"/>
    <n v="56.783549999999998"/>
    <m/>
    <n v="366.36555000000004"/>
    <n v="540.30555000000004"/>
    <n v="2.8665000000000003"/>
    <n v="467.97728725063098"/>
    <m/>
    <x v="6"/>
    <x v="0"/>
    <n v="173.94"/>
    <n v="540.30555000000004"/>
    <n v="56.783549999999998"/>
    <n v="540.30555000000004"/>
  </r>
  <r>
    <s v="HEERA MOTI INC"/>
    <s v="HM260120RB-14K"/>
    <s v="K02567B05 OV 6.25&quot;"/>
    <s v="14K WG"/>
    <n v="1"/>
    <n v="16.53"/>
    <n v="198.55530000000002"/>
    <n v="314.36689999999999"/>
    <m/>
    <n v="1364.5132700000001"/>
    <n v="1563.0685700000001"/>
    <n v="9.7235775000000011"/>
    <n v="1523.9176681228801"/>
    <m/>
    <x v="0"/>
    <x v="0"/>
    <n v="198.55530000000002"/>
    <n v="1563.0685700000001"/>
    <n v="314.36689999999999"/>
    <n v="1563.0685700000001"/>
  </r>
  <r>
    <s v="HEERA MOTI INC"/>
    <s v="HM251006RB-14K"/>
    <s v="K02532B02 6.5&quot;"/>
    <s v="14K WYG"/>
    <n v="3"/>
    <n v="57.039999999999992"/>
    <n v="641.4052999999999"/>
    <n v="571.9502500000001"/>
    <m/>
    <n v="4242.4871199999989"/>
    <n v="4883.8924199999983"/>
    <n v="33.986452499999992"/>
    <n v="4452.8142368742656"/>
    <m/>
    <x v="0"/>
    <x v="0"/>
    <n v="641.4052999999999"/>
    <n v="4883.8924199999983"/>
    <n v="571.9502500000001"/>
    <n v="4883.8924199999983"/>
  </r>
  <r>
    <s v="IDD Sandeep"/>
    <s v="IDD251023DB-3-14K"/>
    <s v="H0300B01 OV 6.5&quot;"/>
    <s v="14K WG"/>
    <n v="3"/>
    <n v="41.629999999999995"/>
    <n v="391.48879999999997"/>
    <n v="539.85520000000008"/>
    <m/>
    <n v="3172.1867199999997"/>
    <n v="3563.6755199999998"/>
    <n v="24.373439999999999"/>
    <n v="3125.41"/>
    <m/>
    <x v="0"/>
    <x v="0"/>
    <n v="391.48879999999997"/>
    <n v="3563.6755199999998"/>
    <n v="539.85520000000008"/>
    <n v="3563.6755199999998"/>
  </r>
  <r>
    <s v="IDD Sandeep"/>
    <s v="IDD251023DB-14K"/>
    <s v="K03445B01 6.75&quot;"/>
    <s v="14K WG"/>
    <n v="1"/>
    <n v="7.53"/>
    <n v="270.03390000000007"/>
    <n v="47.731099999999998"/>
    <m/>
    <n v="531.34241000000009"/>
    <n v="801.3763100000001"/>
    <n v="4.4778825000000007"/>
    <n v="574.20000000000005"/>
    <m/>
    <x v="0"/>
    <x v="0"/>
    <n v="270.03390000000007"/>
    <n v="801.3763100000001"/>
    <n v="47.731099999999998"/>
    <n v="801.3763100000001"/>
  </r>
  <r>
    <s v="IDD Sandeep"/>
    <s v="IDD251023DB-14K"/>
    <s v="K03445B01 6.75&quot;"/>
    <s v="14K YG"/>
    <n v="3"/>
    <n v="22.66"/>
    <n v="201.85"/>
    <n v="148.131"/>
    <m/>
    <n v="1606.2622200000001"/>
    <n v="1808.11222"/>
    <n v="13.501215"/>
    <n v="1731.26"/>
    <m/>
    <x v="0"/>
    <x v="0"/>
    <n v="201.85"/>
    <n v="1808.11222"/>
    <n v="148.131"/>
    <n v="1808.11222"/>
  </r>
  <r>
    <s v="IDD SANDEEP IND"/>
    <s v="IDDIND251217RB-2-14K"/>
    <s v="K0038B51 6.5&quot;"/>
    <s v="14K WG"/>
    <n v="1"/>
    <n v="7.72"/>
    <n v="67.551599999999993"/>
    <m/>
    <n v="622.73198594024598"/>
    <n v="1071.1836259402457"/>
    <n v="1138.7352259402458"/>
    <n v="4.1523299999999992"/>
    <n v="611.9294334692238"/>
    <m/>
    <x v="0"/>
    <x v="0"/>
    <n v="67.551599999999993"/>
    <n v="1138.7352259402458"/>
    <n v="622.73198594024598"/>
    <n v="1138.7352259402458"/>
  </r>
  <r>
    <s v="IDD SANDEEP IND"/>
    <s v="IDDIND251217RB-2-14K"/>
    <s v="K0038B51 6.5&quot;"/>
    <s v="14K WG"/>
    <n v="1"/>
    <n v="7.84"/>
    <n v="68.311700000000002"/>
    <m/>
    <n v="631.82626274749703"/>
    <n v="1087.5751927474971"/>
    <n v="1155.8868927474971"/>
    <n v="4.2198975000000001"/>
    <n v="621.8868650789301"/>
    <m/>
    <x v="0"/>
    <x v="0"/>
    <n v="68.311700000000002"/>
    <n v="1155.8868927474971"/>
    <n v="631.82626274749703"/>
    <n v="1155.8868927474971"/>
  </r>
  <r>
    <s v="IDD SANDEEP IND"/>
    <s v="IDDIND260116RB-2-14K"/>
    <s v="K02962B01 OV 7&quot;"/>
    <s v="14K YG"/>
    <n v="1"/>
    <n v="8.3800000000000008"/>
    <n v="89.545000000000002"/>
    <m/>
    <n v="113.21979658414899"/>
    <n v="641.94162658414893"/>
    <n v="731.48662658414889"/>
    <n v="4.8955725000000001"/>
    <n v="759.1408854878872"/>
    <m/>
    <x v="0"/>
    <x v="0"/>
    <n v="89.545000000000002"/>
    <n v="731.48662658414889"/>
    <n v="113.21979658414899"/>
    <n v="731.48662658414889"/>
  </r>
  <r>
    <s v="IDD SANDEEP IND"/>
    <s v="IDDIND260116RB-2-14K"/>
    <s v="K02957B01 OV 6.5&quot;"/>
    <s v="14K YG"/>
    <n v="1"/>
    <n v="8.7899999999999991"/>
    <n v="80.804999999999978"/>
    <m/>
    <n v="102.173962771061"/>
    <n v="660.0849527710609"/>
    <n v="740.88995277106085"/>
    <n v="5.1658424999999983"/>
    <n v="801.05079635547418"/>
    <m/>
    <x v="0"/>
    <x v="0"/>
    <n v="80.804999999999978"/>
    <n v="740.88995277106085"/>
    <n v="102.173962771061"/>
    <n v="740.88995277106085"/>
  </r>
  <r>
    <s v="IDD SANDEEP IND"/>
    <s v="IDDIND260116RB-2-14K"/>
    <s v="K0098B153 7&quot;"/>
    <s v="14K WG"/>
    <n v="1"/>
    <n v="5.39"/>
    <n v="54.75"/>
    <m/>
    <n v="80.082295144885705"/>
    <n v="411.77729514488567"/>
    <n v="466.52729514488567"/>
    <n v="3.07125"/>
    <n v="476.24898713167323"/>
    <m/>
    <x v="0"/>
    <x v="0"/>
    <n v="54.75"/>
    <n v="466.52729514488567"/>
    <n v="80.082295144885705"/>
    <n v="466.52729514488567"/>
  </r>
  <r>
    <s v="IDD SANDEEP IND"/>
    <s v="IDDIND260116RB-2-14K"/>
    <s v="K0629B02 OV 6.25&quot;"/>
    <s v="14K YG"/>
    <n v="1"/>
    <n v="6.47"/>
    <n v="68.784999999999997"/>
    <m/>
    <n v="27.614584532719199"/>
    <n v="431.6190945327192"/>
    <n v="500.40409453271923"/>
    <n v="3.7407824999999999"/>
    <n v="580.07126632637801"/>
    <m/>
    <x v="0"/>
    <x v="0"/>
    <n v="68.784999999999997"/>
    <n v="500.40409453271923"/>
    <n v="27.614584532719199"/>
    <n v="500.40409453271923"/>
  </r>
  <r>
    <s v="IDD SANDEEP IND"/>
    <s v="IDDIND260116RB-2-14K"/>
    <s v="K0165B01 OV 6&quot;"/>
    <s v="14K RG"/>
    <n v="1"/>
    <n v="5.33"/>
    <n v="49.344999999999999"/>
    <m/>
    <n v="49.7062521588946"/>
    <n v="382.06464215889457"/>
    <n v="431.4096421588946"/>
    <n v="3.0773924999999998"/>
    <n v="477.20148510593657"/>
    <m/>
    <x v="0"/>
    <x v="0"/>
    <n v="49.344999999999999"/>
    <n v="431.4096421588946"/>
    <n v="49.7062521588946"/>
    <n v="431.4096421588946"/>
  </r>
  <r>
    <s v="IDD SANDEEP IND"/>
    <s v="IDDIND260116RB-2-14K"/>
    <s v="K01093B05 7.5&quot;"/>
    <s v="14K WYG"/>
    <n v="1"/>
    <n v="5.27"/>
    <n v="56.602599999999995"/>
    <m/>
    <n v="24.8531260794473"/>
    <n v="347.26066607944722"/>
    <n v="403.86326607944721"/>
    <n v="2.9852549999999995"/>
    <n v="462.91401549198639"/>
    <m/>
    <x v="0"/>
    <x v="0"/>
    <n v="56.602599999999995"/>
    <n v="403.86326607944721"/>
    <n v="24.8531260794473"/>
    <n v="403.86326607944721"/>
  </r>
  <r>
    <s v="IDD SANDEEP IND"/>
    <s v="IDDIND260119RB-14K"/>
    <s v="K0060B39 6.5&quot;"/>
    <s v="14K WYG"/>
    <n v="2"/>
    <n v="8.32"/>
    <n v="91.893600000000006"/>
    <m/>
    <n v="162.848859731174"/>
    <n v="624.56829973117408"/>
    <n v="716.46189973117407"/>
    <n v="4.2751800000000006"/>
    <n v="681.5850742064398"/>
    <m/>
    <x v="0"/>
    <x v="0"/>
    <n v="91.893600000000006"/>
    <n v="716.46189973117407"/>
    <n v="162.848859731174"/>
    <n v="716.46189973117407"/>
  </r>
  <r>
    <s v="IDD SANDEEP IND"/>
    <s v="IDDIND260119RB-14K"/>
    <s v="K0060B40 6.5&quot;"/>
    <s v="14K WYG"/>
    <n v="2"/>
    <n v="8.2899999999999991"/>
    <n v="87.235399999999998"/>
    <m/>
    <n v="137.99573365172682"/>
    <n v="598.3883936517268"/>
    <n v="685.62379365172683"/>
    <n v="4.2628949999999994"/>
    <n v="679.6264964069959"/>
    <m/>
    <x v="0"/>
    <x v="0"/>
    <n v="87.235399999999998"/>
    <n v="685.62379365172683"/>
    <n v="137.99573365172682"/>
    <n v="685.62379365172683"/>
  </r>
  <r>
    <s v="IDD SANDEEP US"/>
    <s v="IDDUS251210DB-1-14K"/>
    <s v="K02050B21 OV H 6.75&quot;"/>
    <s v="14K WG"/>
    <n v="2"/>
    <n v="12.129999999999999"/>
    <n v="387.01299999999992"/>
    <n v="288.70499999999998"/>
    <m/>
    <n v="1038.3356999999999"/>
    <n v="1425.3486999999998"/>
    <n v="6.9410249999999989"/>
    <n v="988.8589003054318"/>
    <m/>
    <x v="0"/>
    <x v="0"/>
    <n v="387.01299999999992"/>
    <n v="1425.3486999999998"/>
    <n v="288.70499999999998"/>
    <n v="1425.3486999999998"/>
  </r>
  <r>
    <s v="IDD SANDEEP US"/>
    <s v="IDDUS251210DB-1-14K"/>
    <s v="K02050B21 OV H 6.75&quot;"/>
    <s v="14K YG"/>
    <n v="2"/>
    <n v="11.99"/>
    <n v="181.03"/>
    <n v="303.89999999999998"/>
    <m/>
    <n v="1043.5798500000001"/>
    <n v="1224.6098500000001"/>
    <n v="6.8488875"/>
    <n v="975.73245472615622"/>
    <m/>
    <x v="0"/>
    <x v="0"/>
    <n v="181.03"/>
    <n v="1224.6098500000001"/>
    <n v="303.89999999999998"/>
    <n v="1224.6098500000001"/>
  </r>
  <r>
    <s v="IDD SANDEEP US"/>
    <s v="IDDUS260130RM-14K"/>
    <s v="K02747B01 6.75&quot;"/>
    <s v="14K YG"/>
    <n v="3"/>
    <n v="24.41"/>
    <n v="183.67500000000001"/>
    <n v="0"/>
    <m/>
    <n v="1555.6495499999999"/>
    <n v="1739.3245499999998"/>
    <n v="14.404162499999998"/>
    <n v="2323.3809682495539"/>
    <m/>
    <x v="0"/>
    <x v="0"/>
    <n v="183.67500000000001"/>
    <n v="1739.3245499999998"/>
    <n v="0"/>
    <n v="1739.3245499999998"/>
  </r>
  <r>
    <s v="IDD SANDEEP US"/>
    <s v="IDDUS260130RM-14K"/>
    <s v="K01703B01 6.75&quot;"/>
    <s v="14K RG"/>
    <n v="3"/>
    <n v="9.56"/>
    <n v="57.265000000000001"/>
    <n v="0"/>
    <m/>
    <n v="504.83978999999994"/>
    <n v="562.10478999999998"/>
    <n v="4.6744424999999996"/>
    <n v="753.98418628482329"/>
    <m/>
    <x v="0"/>
    <x v="0"/>
    <n v="57.265000000000001"/>
    <n v="562.10478999999998"/>
    <n v="0"/>
    <n v="562.10478999999998"/>
  </r>
  <r>
    <s v="IDD SANDEEP US"/>
    <s v="IDDUS260128RM-4-14K"/>
    <s v="K02981B01 OV 6.5&quot;"/>
    <s v="14K WG"/>
    <n v="2"/>
    <n v="17.510000000000002"/>
    <n v="155.68989999999999"/>
    <n v="0"/>
    <m/>
    <n v="1120.4657099999999"/>
    <n v="1276.15561"/>
    <n v="10.3746825"/>
    <n v="1720.6519414538557"/>
    <m/>
    <x v="0"/>
    <x v="0"/>
    <n v="155.68989999999999"/>
    <n v="1276.15561"/>
    <n v="0"/>
    <n v="1276.15561"/>
  </r>
  <r>
    <s v="VIMCO DIAMOND CORP"/>
    <s v="VD251212DB-14K"/>
    <s v="K03382B02 OV 6.75&quot;"/>
    <s v="14K WG"/>
    <n v="1"/>
    <n v="18.37"/>
    <n v="276.76160000000004"/>
    <n v="201.62275000000002"/>
    <m/>
    <n v="1379.80339"/>
    <n v="1656.5649900000001"/>
    <n v="10.909079999999999"/>
    <n v="1571.9317969059055"/>
    <m/>
    <x v="0"/>
    <x v="0"/>
    <n v="276.76160000000004"/>
    <n v="1656.5649900000001"/>
    <n v="201.62275000000002"/>
    <n v="1656.5649900000001"/>
  </r>
  <r>
    <s v="VIMCO DIAMOND CORP"/>
    <s v="VD251212DB-14K"/>
    <s v="K0289E170 0.5&quot;"/>
    <s v="14K WG"/>
    <n v="5"/>
    <n v="25.69"/>
    <n v="171.6704"/>
    <n v="406.53729999999996"/>
    <m/>
    <n v="2077.6167100000002"/>
    <n v="2249.2871100000002"/>
    <n v="15.4729575"/>
    <n v="2229.5586691475091"/>
    <m/>
    <x v="3"/>
    <x v="0"/>
    <n v="171.6704"/>
    <n v="2249.2871100000002"/>
    <n v="406.53729999999996"/>
    <n v="2249.2871100000002"/>
  </r>
  <r>
    <s v="VIMCO DIAMOND CORP"/>
    <s v="VD251212DB-14K"/>
    <s v="K0289E170 0.5&quot;"/>
    <s v="14K YG"/>
    <n v="6"/>
    <n v="31.049999999999997"/>
    <n v="194.88749999999999"/>
    <n v="483.07165000000009"/>
    <m/>
    <n v="2503.0941999999995"/>
    <n v="2697.9816999999994"/>
    <n v="18.703912499999998"/>
    <n v="2695.1195504383345"/>
    <m/>
    <x v="3"/>
    <x v="0"/>
    <n v="194.88749999999999"/>
    <n v="2697.9816999999994"/>
    <n v="483.07165000000009"/>
    <n v="2697.9816999999994"/>
  </r>
  <r>
    <s v="VIMCO DIAMOND CORP"/>
    <s v="VD251219RB-1-14K"/>
    <s v="H0204E02"/>
    <s v="14K WG"/>
    <n v="3"/>
    <n v="11.899999999999999"/>
    <n v="151.49679999999998"/>
    <n v="240.3014"/>
    <m/>
    <n v="1001.87312"/>
    <n v="1153.3699199999999"/>
    <n v="7.0515899999999991"/>
    <n v="1016.0910489008893"/>
    <m/>
    <x v="3"/>
    <x v="0"/>
    <n v="151.49679999999998"/>
    <n v="1153.3699199999999"/>
    <n v="240.3014"/>
    <n v="1153.3699199999999"/>
  </r>
  <r>
    <s v="VIMCO DIAMOND CORP"/>
    <s v="VD251219RB-1-14K"/>
    <s v="H0204E02"/>
    <s v="14K YG"/>
    <n v="6"/>
    <n v="23.79"/>
    <n v="293.71500000000003"/>
    <n v="478.13395000000003"/>
    <m/>
    <n v="2002.6041700000001"/>
    <n v="2296.3191700000002"/>
    <n v="14.115464999999999"/>
    <n v="2033.9522912667628"/>
    <m/>
    <x v="3"/>
    <x v="0"/>
    <n v="293.71500000000003"/>
    <n v="2296.3191700000002"/>
    <n v="478.13395000000003"/>
    <n v="2296.3191700000002"/>
  </r>
  <r>
    <s v="VIMCO DIAMOND CORP"/>
    <s v="VD251219RB-1-14K"/>
    <s v="H0191E02"/>
    <s v="14K YG"/>
    <n v="6"/>
    <n v="29.450000000000003"/>
    <n v="364.55999999999995"/>
    <n v="1510.9361999999999"/>
    <m/>
    <n v="3325.9712399999999"/>
    <n v="3690.5312399999998"/>
    <n v="16.805880000000002"/>
    <n v="2421.6246600982872"/>
    <m/>
    <x v="3"/>
    <x v="0"/>
    <n v="364.55999999999995"/>
    <n v="3690.5312399999998"/>
    <n v="1510.9361999999999"/>
    <n v="3690.5312399999998"/>
  </r>
  <r>
    <s v="VIMCO DIAMOND CORP"/>
    <s v="VD251219RB-1-14K"/>
    <s v="H0209N02 18&quot;"/>
    <s v="14K WG"/>
    <n v="3"/>
    <n v="15.82"/>
    <n v="175.52280000000002"/>
    <n v="195.8621"/>
    <m/>
    <n v="1229.42372"/>
    <n v="1404.94652"/>
    <n v="9.5700149999999997"/>
    <n v="1378.9807092226356"/>
    <m/>
    <x v="8"/>
    <x v="0"/>
    <n v="175.52280000000002"/>
    <n v="1404.94652"/>
    <n v="195.8621"/>
    <n v="1404.94652"/>
  </r>
  <r>
    <s v="VIMCO DIAMOND CORP"/>
    <s v="VD251219RB-1-14K"/>
    <s v="H0209N02 18&quot;"/>
    <s v="14K YG"/>
    <n v="6"/>
    <n v="31.93"/>
    <n v="339.64750000000004"/>
    <n v="389.25535000000002"/>
    <m/>
    <n v="2475.6169"/>
    <n v="2815.2644"/>
    <n v="19.3181625"/>
    <n v="2783.6292236875411"/>
    <m/>
    <x v="8"/>
    <x v="0"/>
    <n v="339.64750000000004"/>
    <n v="2815.2644"/>
    <n v="389.25535000000002"/>
    <n v="2815.2644"/>
  </r>
  <r>
    <s v="VIMCO DIAMOND CORP"/>
    <s v="VD251219RB-1-14K-NS"/>
    <s v="H0058E02 V1 - MOP"/>
    <s v="14K YG"/>
    <n v="6"/>
    <n v="22.749999999999996"/>
    <n v="692.70999999999992"/>
    <n v="436.98644999999999"/>
    <m/>
    <n v="1755.8057699999995"/>
    <n v="2448.5157699999995"/>
    <n v="12.211289999999996"/>
    <n v="1759.5723041942226"/>
    <m/>
    <x v="3"/>
    <x v="0"/>
    <n v="692.70999999999992"/>
    <n v="2448.5157699999995"/>
    <n v="436.98644999999999"/>
    <n v="2448.5157699999995"/>
  </r>
  <r>
    <s v="VIMCO DIAMOND CORP"/>
    <s v="VD251219RB-1-14K-NS"/>
    <s v="H0088N01 18&quot;"/>
    <s v="14K YG"/>
    <n v="6"/>
    <n v="30.760000000000005"/>
    <n v="553.78250000000003"/>
    <n v="583.47154999999998"/>
    <m/>
    <n v="2498.6784800000005"/>
    <n v="3052.4609800000007"/>
    <n v="17.733397500000002"/>
    <n v="2555.2742667045891"/>
    <m/>
    <x v="8"/>
    <x v="0"/>
    <n v="553.78250000000003"/>
    <n v="3052.4609800000007"/>
    <n v="583.47154999999998"/>
    <n v="3052.4609800000007"/>
  </r>
  <r>
    <s v="VIMCO DIAMOND CORP"/>
    <s v="VD251219RB-2-14K-NS"/>
    <s v="H0235B01 7.75&quot;"/>
    <s v="14K YG"/>
    <n v="1"/>
    <n v="7.75"/>
    <n v="73.87"/>
    <n v="23.042600000000004"/>
    <m/>
    <n v="476.13796999999994"/>
    <n v="550.00796999999989"/>
    <n v="4.1953274999999994"/>
    <n v="604.52106829207958"/>
    <m/>
    <x v="0"/>
    <x v="0"/>
    <n v="73.87"/>
    <n v="550.00796999999989"/>
    <n v="23.042600000000004"/>
    <n v="550.00796999999989"/>
  </r>
  <r>
    <s v="VIMCO DIAMOND CORP"/>
    <s v="VD251219RB-3-14K"/>
    <s v="K0098B143 6.75&quot;"/>
    <s v="14K YG"/>
    <n v="6"/>
    <n v="46.8"/>
    <n v="472.88"/>
    <n v="785.91724999999997"/>
    <m/>
    <n v="3700.1895199999994"/>
    <n v="4173.0695199999991"/>
    <n v="26.984002499999995"/>
    <n v="3888.2299458376365"/>
    <m/>
    <x v="0"/>
    <x v="0"/>
    <n v="472.88"/>
    <n v="4173.0695199999991"/>
    <n v="785.91724999999997"/>
    <n v="4173.0695199999991"/>
  </r>
  <r>
    <s v="VIMCO DIAMOND CORP"/>
    <s v="VD260108RB-1-14K"/>
    <s v="K0098E27 1.25&quot;"/>
    <s v="14K YG"/>
    <n v="3"/>
    <n v="33.119999999999997"/>
    <n v="376.71"/>
    <n v="294.61609999999996"/>
    <m/>
    <n v="2340.5108599999994"/>
    <n v="2717.2208599999994"/>
    <n v="18.943469999999998"/>
    <n v="2729.6383230055249"/>
    <m/>
    <x v="3"/>
    <x v="0"/>
    <n v="376.71"/>
    <n v="2717.2208599999994"/>
    <n v="294.61609999999996"/>
    <n v="2717.2208599999994"/>
  </r>
  <r>
    <s v="VIMCO DIAMOND CORP"/>
    <s v="VD260122RB-14K"/>
    <s v="K0642E01 0.5&quot;"/>
    <s v="14K YG"/>
    <n v="6"/>
    <n v="10.620000000000001"/>
    <n v="186.67500000000004"/>
    <n v="288.03250000000003"/>
    <m/>
    <n v="952.74928000000011"/>
    <n v="1139.4242800000002"/>
    <n v="6.1547850000000004"/>
    <n v="886.86692595704812"/>
    <m/>
    <x v="3"/>
    <x v="0"/>
    <n v="186.67500000000004"/>
    <n v="1139.4242800000002"/>
    <n v="288.03250000000003"/>
    <n v="1139.4242800000002"/>
  </r>
  <r>
    <s v="VIMCO DIAMOND CORP"/>
    <s v="VD260122RB-14K"/>
    <s v="K0246B01 OV H 6.75&quot;"/>
    <s v="14K WG"/>
    <n v="3"/>
    <n v="27.689999999999998"/>
    <n v="242.79629999999995"/>
    <n v="243.5932"/>
    <m/>
    <n v="1996.9329699999994"/>
    <n v="2239.7292699999994"/>
    <n v="16.234627499999995"/>
    <n v="2339.3106639765242"/>
    <m/>
    <x v="0"/>
    <x v="0"/>
    <n v="242.79629999999995"/>
    <n v="2239.7292699999994"/>
    <n v="243.5932"/>
    <n v="2239.7292699999994"/>
  </r>
  <r>
    <s v="VIMCO DIAMOND CORP"/>
    <s v="VD260122RB-14K"/>
    <s v="K0246B01 OV H 6.75&quot;"/>
    <s v="14K YG"/>
    <n v="6"/>
    <n v="53.5"/>
    <n v="448.87999999999994"/>
    <n v="490.47820000000002"/>
    <m/>
    <n v="3872.4404199999994"/>
    <n v="4321.3204199999991"/>
    <n v="31.314464999999995"/>
    <n v="4512.2231422445411"/>
    <m/>
    <x v="0"/>
    <x v="0"/>
    <n v="448.87999999999994"/>
    <n v="4321.3204199999991"/>
    <n v="490.47820000000002"/>
    <n v="4321.3204199999991"/>
  </r>
  <r>
    <s v="VIMCO DIAMOND CORP"/>
    <s v="VD260122RB-14K"/>
    <s v="K0313E24 1.5&quot;"/>
    <s v="14K YG"/>
    <n v="3"/>
    <n v="23.63"/>
    <n v="237.66750000000002"/>
    <n v="1231.1332"/>
    <m/>
    <n v="2691.2545899999996"/>
    <n v="2928.9220899999996"/>
    <n v="13.519642499999998"/>
    <n v="1948.0979082150325"/>
    <m/>
    <x v="3"/>
    <x v="0"/>
    <n v="237.66750000000002"/>
    <n v="2928.9220899999996"/>
    <n v="1231.1332"/>
    <n v="2928.9220899999996"/>
  </r>
  <r>
    <s v="Epoque Jewelry"/>
    <s v="EJ260107RB-14K"/>
    <s v="K0098B223 7&quot;"/>
    <s v="14K WG"/>
    <n v="1"/>
    <n v="4.82"/>
    <n v="51.234500000000004"/>
    <n v="36.209800000000001"/>
    <m/>
    <n v="331.41835000000003"/>
    <n v="382.65285000000006"/>
    <n v="2.7334125"/>
    <n v="392.73192902105063"/>
    <m/>
    <x v="0"/>
    <x v="0"/>
    <n v="51.234500000000004"/>
    <n v="382.65285000000006"/>
    <n v="36.209800000000001"/>
    <n v="382.65285000000006"/>
  </r>
  <r>
    <s v="Epoque Jewelry"/>
    <s v="EJ260107RB-14K"/>
    <s v="K0098B223 7&quot;"/>
    <s v="14K WG"/>
    <n v="1"/>
    <n v="4.8499999999999996"/>
    <n v="51.54679999999999"/>
    <n v="36.209800000000001"/>
    <m/>
    <n v="333.40851999999995"/>
    <n v="384.95531999999992"/>
    <n v="2.7518399999999996"/>
    <n v="395.37956000321503"/>
    <m/>
    <x v="0"/>
    <x v="0"/>
    <n v="51.54679999999999"/>
    <n v="384.95531999999992"/>
    <n v="36.209800000000001"/>
    <n v="384.95531999999992"/>
  </r>
  <r>
    <s v="Epoque Jewelry"/>
    <s v="EJ251212RB-14K"/>
    <s v="K0098B222 6.50&quot;"/>
    <s v="14K WG"/>
    <n v="4"/>
    <n v="19.349999999999998"/>
    <n v="172.5667"/>
    <n v="184.34080000000003"/>
    <m/>
    <n v="1369.81873"/>
    <n v="1542.38543"/>
    <n v="10.9766475"/>
    <n v="1577.105521709253"/>
    <m/>
    <x v="0"/>
    <x v="0"/>
    <n v="172.5667"/>
    <n v="1542.38543"/>
    <n v="184.34080000000003"/>
    <n v="1542.38543"/>
  </r>
  <r>
    <s v="Epoque Jewelry"/>
    <s v="EJ251212RB-14K"/>
    <s v="K0098B222 6.50&quot;"/>
    <s v="14K YG"/>
    <n v="8"/>
    <n v="38.81"/>
    <n v="331.36000000000013"/>
    <n v="367.85865000000007"/>
    <m/>
    <n v="2746.1118000000006"/>
    <n v="3077.4718000000007"/>
    <n v="22.020862500000003"/>
    <n v="3163.9190236864429"/>
    <m/>
    <x v="0"/>
    <x v="0"/>
    <n v="331.36000000000013"/>
    <n v="3077.4718000000007"/>
    <n v="367.85865000000007"/>
    <n v="3077.4718000000007"/>
  </r>
  <r>
    <s v="Epoque Jewelry"/>
    <s v="EJ251212RB-14K"/>
    <s v="K01093B25 6.50&quot;"/>
    <s v="14K WG"/>
    <n v="4"/>
    <n v="20.14"/>
    <n v="202.20340000000004"/>
    <n v="127.55724999999998"/>
    <m/>
    <n v="1370.7501100000002"/>
    <n v="1572.9535100000003"/>
    <n v="11.511045000000001"/>
    <n v="1653.8868201920202"/>
    <m/>
    <x v="0"/>
    <x v="0"/>
    <n v="202.20340000000004"/>
    <n v="1572.9535100000003"/>
    <n v="127.55724999999998"/>
    <n v="1572.9535100000003"/>
  </r>
  <r>
    <s v="Epoque Jewelry"/>
    <s v="EJ251212RB-14K"/>
    <s v="K01093B25 6.50&quot;"/>
    <s v="14K YG"/>
    <n v="8"/>
    <n v="39.29"/>
    <n v="381.12"/>
    <n v="241.12434999999994"/>
    <m/>
    <n v="2661.83446"/>
    <n v="3042.9544599999999"/>
    <n v="22.413982499999999"/>
    <n v="3220.4018179726154"/>
    <m/>
    <x v="0"/>
    <x v="0"/>
    <n v="381.12"/>
    <n v="3042.9544599999999"/>
    <n v="241.12434999999994"/>
    <n v="3042.9544599999999"/>
  </r>
  <r>
    <s v="Epoque Jewelry"/>
    <s v="EJ251212RB-14K"/>
    <s v="K0098B223 6.50&quot;"/>
    <s v="14K WG"/>
    <n v="4"/>
    <n v="18.310000000000002"/>
    <n v="161.51670000000004"/>
    <n v="158.00639999999999"/>
    <m/>
    <n v="1277.1453300000003"/>
    <n v="1438.6620300000004"/>
    <n v="10.362397500000002"/>
    <n v="1488.8511556371072"/>
    <m/>
    <x v="0"/>
    <x v="0"/>
    <n v="161.51670000000004"/>
    <n v="1438.6620300000004"/>
    <n v="158.00639999999999"/>
    <n v="1438.6620300000004"/>
  </r>
  <r>
    <s v="Epoque Jewelry"/>
    <s v="EJ251212RB-14K"/>
    <s v="K0098B223 6.50&quot;"/>
    <s v="14K YG"/>
    <n v="4"/>
    <n v="18.189999999999998"/>
    <n v="153.63999999999999"/>
    <n v="159.6523"/>
    <m/>
    <n v="1270.8305499999999"/>
    <n v="1424.47055"/>
    <n v="10.2886875"/>
    <n v="1478.2606317084492"/>
    <m/>
    <x v="0"/>
    <x v="0"/>
    <n v="153.63999999999999"/>
    <n v="1424.47055"/>
    <n v="159.6523"/>
    <n v="1424.47055"/>
  </r>
  <r>
    <s v="Epoque Jewelry"/>
    <s v="EJ251212RB-14K"/>
    <s v="K01444B02 OV H 6.50&quot;"/>
    <s v="14K WG"/>
    <n v="4"/>
    <n v="30.319999999999997"/>
    <n v="297.084"/>
    <n v="546.43880000000001"/>
    <m/>
    <n v="2430.4663999999998"/>
    <n v="2727.5503999999996"/>
    <n v="17.444699999999997"/>
    <n v="2506.4239964489525"/>
    <m/>
    <x v="0"/>
    <x v="0"/>
    <n v="297.084"/>
    <n v="2727.5503999999996"/>
    <n v="546.43880000000001"/>
    <n v="2727.5503999999996"/>
  </r>
  <r>
    <s v="Epoque Jewelry"/>
    <s v="EJ251212RB-14K"/>
    <s v="K0098B142 6.25&quot;"/>
    <s v="14K YG"/>
    <n v="4"/>
    <n v="17.57"/>
    <n v="149.88"/>
    <n v="80.649100000000004"/>
    <m/>
    <n v="1160.6480200000001"/>
    <n v="1310.5280200000002"/>
    <n v="9.9999900000000004"/>
    <n v="1436.7810796545405"/>
    <m/>
    <x v="0"/>
    <x v="0"/>
    <n v="149.88"/>
    <n v="1310.5280200000002"/>
    <n v="80.649100000000004"/>
    <n v="1310.5280200000002"/>
  </r>
  <r>
    <s v="Epoque Jewelry"/>
    <s v="EJ251212RB-14K"/>
    <s v="K0437E06"/>
    <s v="14K WG"/>
    <n v="8"/>
    <n v="11.68"/>
    <n v="146.15039999999999"/>
    <n v="167.8818"/>
    <m/>
    <n v="926.79995999999994"/>
    <n v="1072.9503599999998"/>
    <n v="7.0270199999999994"/>
    <n v="1009.6299478653527"/>
    <m/>
    <x v="3"/>
    <x v="0"/>
    <n v="146.15039999999999"/>
    <n v="1072.9503599999998"/>
    <n v="167.8818"/>
    <n v="1072.9503599999998"/>
  </r>
  <r>
    <s v="Epoque Jewelry"/>
    <s v="EJ251212RB-14K"/>
    <s v="K0437E06"/>
    <s v="14K YG"/>
    <n v="8"/>
    <n v="11.49"/>
    <n v="139.98750000000001"/>
    <n v="171.17360000000002"/>
    <m/>
    <n v="917.48735000000011"/>
    <n v="1057.4748500000001"/>
    <n v="6.9103124999999999"/>
    <n v="992.86161831164497"/>
    <m/>
    <x v="3"/>
    <x v="0"/>
    <n v="139.98750000000001"/>
    <n v="1057.4748500000001"/>
    <n v="171.17360000000002"/>
    <n v="1057.4748500000001"/>
  </r>
  <r>
    <s v="Epoque Jewelry"/>
    <s v="EJ251212RB-14K"/>
    <s v="K0098E44 0.75&quot;"/>
    <s v="14K WG"/>
    <n v="2"/>
    <n v="9.879999999999999"/>
    <n v="55.9512"/>
    <n v="55.960600000000007"/>
    <m/>
    <n v="707.40957999999989"/>
    <n v="763.36077999999986"/>
    <n v="6.0319349999999989"/>
    <n v="866.65787482847577"/>
    <m/>
    <x v="3"/>
    <x v="0"/>
    <n v="55.9512"/>
    <n v="763.36077999999986"/>
    <n v="55.960600000000007"/>
    <n v="763.36077999999986"/>
  </r>
  <r>
    <s v="Epoque Jewelry"/>
    <s v="EJ251212RB-14K"/>
    <s v="K0098E44 0.75&quot;"/>
    <s v="14K YG"/>
    <n v="4"/>
    <n v="19.77"/>
    <n v="103.85"/>
    <n v="112.74415"/>
    <m/>
    <n v="1415.64211"/>
    <n v="1519.4921099999999"/>
    <n v="12.06387"/>
    <n v="1733.3157496569518"/>
    <m/>
    <x v="3"/>
    <x v="0"/>
    <n v="103.85"/>
    <n v="1519.4921099999999"/>
    <n v="112.74415"/>
    <n v="1519.4921099999999"/>
  </r>
  <r>
    <s v="Epoque Jewelry"/>
    <s v="EJ251212RB-14K"/>
    <s v="K02822E01 0.50&quot;"/>
    <s v="14K WG"/>
    <n v="3"/>
    <n v="15.129999999999999"/>
    <n v="85.526399999999995"/>
    <n v="82.295000000000002"/>
    <m/>
    <n v="1080.0335599999999"/>
    <n v="1165.5599599999998"/>
    <n v="9.2383199999999981"/>
    <n v="1327.345665725079"/>
    <m/>
    <x v="3"/>
    <x v="0"/>
    <n v="85.526399999999995"/>
    <n v="1165.5599599999998"/>
    <n v="82.295000000000002"/>
    <n v="1165.5599599999998"/>
  </r>
  <r>
    <s v="Epoque Jewelry"/>
    <s v="EJ251212RB-14K"/>
    <s v="K02822E01 0.50&quot;"/>
    <s v="14K YG"/>
    <n v="3"/>
    <n v="14.940000000000001"/>
    <n v="78.362500000000011"/>
    <n v="86.409749999999988"/>
    <m/>
    <n v="1070.21712"/>
    <n v="1148.57962"/>
    <n v="9.1093275000000009"/>
    <n v="1308.8122488499287"/>
    <m/>
    <x v="3"/>
    <x v="0"/>
    <n v="78.362500000000011"/>
    <n v="1148.57962"/>
    <n v="86.409749999999988"/>
    <n v="1148.57962"/>
  </r>
  <r>
    <s v="Epoque Jewelry"/>
    <s v="EJ251212RB-14K"/>
    <s v="K0098E42 OV 1&quot;"/>
    <s v="14K WG"/>
    <n v="2"/>
    <n v="12.03"/>
    <n v="74.021999999999991"/>
    <n v="57.606499999999997"/>
    <m/>
    <n v="850.35754999999983"/>
    <n v="924.37954999999988"/>
    <n v="7.3402874999999987"/>
    <n v="1054.6396745621473"/>
    <m/>
    <x v="3"/>
    <x v="0"/>
    <n v="74.021999999999991"/>
    <n v="924.37954999999988"/>
    <n v="57.606499999999997"/>
    <n v="924.37954999999988"/>
  </r>
  <r>
    <s v="Epoque Jewelry"/>
    <s v="EJ251212RB-14K"/>
    <s v="K0098E42 OV 1&quot;"/>
    <s v="14K YG"/>
    <n v="4"/>
    <n v="24.46"/>
    <n v="140.14500000000001"/>
    <n v="115.21299999999999"/>
    <m/>
    <n v="1727.2507000000001"/>
    <n v="1867.3957"/>
    <n v="14.926275"/>
    <n v="2144.5810955531533"/>
    <m/>
    <x v="3"/>
    <x v="0"/>
    <n v="140.14500000000001"/>
    <n v="1867.3957"/>
    <n v="115.21299999999999"/>
    <n v="1867.3957"/>
  </r>
  <r>
    <s v="Epoque Jewelry"/>
    <s v="EJ251212RB-14K"/>
    <s v="K0098B285 6.50&quot;"/>
    <s v="14K WG"/>
    <n v="2"/>
    <n v="26.52"/>
    <n v="238.31320000000002"/>
    <n v="118.5048"/>
    <m/>
    <n v="1745.1370799999997"/>
    <n v="1983.4502799999998"/>
    <n v="15.061409999999999"/>
    <n v="2163.9970560890251"/>
    <m/>
    <x v="0"/>
    <x v="0"/>
    <n v="238.31320000000002"/>
    <n v="1983.4502799999998"/>
    <n v="118.5048"/>
    <n v="1983.4502799999998"/>
  </r>
  <r>
    <s v="Epoque Jewelry"/>
    <s v="EJ251212RB-14K"/>
    <s v="K0098B285 6.50&quot;"/>
    <s v="14K YG"/>
    <n v="4"/>
    <n v="52.070000000000007"/>
    <n v="448.7600000000001"/>
    <n v="238.65549999999996"/>
    <m/>
    <n v="3427.5712300000005"/>
    <n v="3876.3312300000007"/>
    <n v="29.526997500000004"/>
    <n v="4242.3873770880691"/>
    <m/>
    <x v="0"/>
    <x v="0"/>
    <n v="448.7600000000001"/>
    <n v="3876.3312300000007"/>
    <n v="238.65549999999996"/>
    <n v="3876.3312300000007"/>
  </r>
  <r>
    <s v="Epoque Jewelry"/>
    <s v="EJ251223RB-14K"/>
    <s v="K01093B07 6.50&quot;"/>
    <s v="14K WG"/>
    <n v="2"/>
    <n v="10.42"/>
    <n v="93.201100000000011"/>
    <n v="72.419600000000003"/>
    <m/>
    <n v="716.57129000000009"/>
    <n v="809.77239000000009"/>
    <n v="5.9643674999999998"/>
    <n v="250.97616797602933"/>
    <m/>
    <x v="0"/>
    <x v="0"/>
    <n v="93.201100000000011"/>
    <n v="809.77239000000009"/>
    <n v="72.419600000000003"/>
    <n v="809.77239000000009"/>
  </r>
  <r>
    <s v="Epoque Jewelry"/>
    <s v="EJ251223RB-14K"/>
    <s v="K01093B07 6.50&quot;"/>
    <s v="14K YG"/>
    <n v="6"/>
    <n v="31.299999999999997"/>
    <n v="268.22000000000003"/>
    <n v="210.67520000000002"/>
    <m/>
    <n v="2147.7739999999999"/>
    <n v="2415.9939999999997"/>
    <n v="17.9361"/>
    <n v="754.73780688981003"/>
    <m/>
    <x v="0"/>
    <x v="0"/>
    <n v="268.22000000000003"/>
    <n v="2415.9939999999997"/>
    <n v="210.67520000000002"/>
    <n v="2415.9939999999997"/>
  </r>
  <r>
    <s v="Epoque Jewelry"/>
    <s v="EJ251223RB-14K"/>
    <s v="K0098B142 6.5&quot;"/>
    <s v="14K WG"/>
    <n v="4"/>
    <n v="18.009999999999998"/>
    <n v="159.75059999999999"/>
    <n v="82.295000000000002"/>
    <m/>
    <n v="1187.5027399999999"/>
    <n v="1347.25334"/>
    <n v="10.233404999999999"/>
    <n v="430.61410488987104"/>
    <m/>
    <x v="0"/>
    <x v="0"/>
    <n v="159.75059999999999"/>
    <n v="1347.25334"/>
    <n v="82.295000000000002"/>
    <n v="1347.25334"/>
  </r>
  <r>
    <s v="Epoque Jewelry"/>
    <s v="EJ251223RB-14K"/>
    <s v="K0098B142 6.5&quot;"/>
    <s v="14K YG"/>
    <n v="4"/>
    <n v="17.989999999999998"/>
    <n v="152.83999999999997"/>
    <n v="80.649100000000004"/>
    <m/>
    <n v="1185.19345"/>
    <n v="1338.0334499999999"/>
    <n v="10.227262499999998"/>
    <n v="430.35563303819646"/>
    <m/>
    <x v="0"/>
    <x v="0"/>
    <n v="152.83999999999997"/>
    <n v="1338.0334499999999"/>
    <n v="80.649100000000004"/>
    <n v="1338.0334499999999"/>
  </r>
  <r>
    <s v="Epoque Jewelry"/>
    <s v="EJ251223RB-14K"/>
    <s v="K0098B142 6.25&quot;"/>
    <s v="14K WG"/>
    <n v="4"/>
    <n v="17.68"/>
    <n v="157.39580000000001"/>
    <n v="80.649100000000004"/>
    <m/>
    <n v="1167.2819199999999"/>
    <n v="1324.6777199999999"/>
    <n v="10.061414999999998"/>
    <n v="423.37689304298243"/>
    <m/>
    <x v="0"/>
    <x v="0"/>
    <n v="157.39580000000001"/>
    <n v="1324.6777199999999"/>
    <n v="80.649100000000004"/>
    <n v="1324.6777199999999"/>
  </r>
  <r>
    <s v="Epoque Jewelry"/>
    <s v="EJ251223RB-14K"/>
    <s v="K0098B142 6.25&quot;"/>
    <s v="14K YG"/>
    <n v="4"/>
    <n v="17.57"/>
    <n v="149.79999999999998"/>
    <n v="80.649100000000004"/>
    <m/>
    <n v="1159.9846299999999"/>
    <n v="1309.7846299999999"/>
    <n v="9.9938474999999993"/>
    <n v="420.53370267456194"/>
    <m/>
    <x v="0"/>
    <x v="0"/>
    <n v="149.79999999999998"/>
    <n v="1309.7846299999999"/>
    <n v="80.649100000000004"/>
    <n v="1309.7846299999999"/>
  </r>
  <r>
    <s v="Epoque Jewelry"/>
    <s v="EJ251212RB-14K-NS"/>
    <s v="K02823E01"/>
    <s v="14K YG"/>
    <n v="4"/>
    <n v="10.169999999999998"/>
    <n v="326.95749999999998"/>
    <n v="39.501599999999996"/>
    <m/>
    <n v="629.25530999999978"/>
    <n v="956.21280999999976"/>
    <n v="5.460682499999999"/>
    <n v="784.58131438137968"/>
    <m/>
    <x v="3"/>
    <x v="0"/>
    <n v="326.95749999999998"/>
    <n v="956.21280999999976"/>
    <n v="39.501599999999996"/>
    <n v="956.21280999999976"/>
  </r>
  <r>
    <s v="Brevani"/>
    <s v="BC260108RB-14K"/>
    <s v="K0098B06 6.75&quot;"/>
    <s v="14K YG"/>
    <n v="3"/>
    <n v="42.22"/>
    <n v="465.60500000000002"/>
    <n v="875.61880000000008"/>
    <m/>
    <n v="3338.7858699999997"/>
    <n v="3804.3908699999997"/>
    <n v="22.807102499999996"/>
    <n v="3455.9240515395359"/>
    <m/>
    <x v="0"/>
    <x v="0"/>
    <n v="465.60500000000002"/>
    <n v="3804.3908699999997"/>
    <n v="875.61880000000008"/>
    <n v="3804.3908699999997"/>
  </r>
  <r>
    <s v="Brevani"/>
    <s v="BC260108RB-14K"/>
    <s v="K0098B283 6.75&quot;"/>
    <s v="14K WYG"/>
    <n v="3"/>
    <n v="14.739999999999998"/>
    <n v="156.01369999999997"/>
    <n v="174.46540000000002"/>
    <m/>
    <n v="1074.6856299999997"/>
    <n v="1230.6993299999997"/>
    <n v="8.3353724999999983"/>
    <n v="1263.0457683649743"/>
    <m/>
    <x v="0"/>
    <x v="0"/>
    <n v="156.01369999999997"/>
    <n v="1230.6993299999997"/>
    <n v="174.46540000000002"/>
    <n v="1230.6993299999997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9">
  <r>
    <n v="2"/>
    <n v="25.380000000000003"/>
    <n v="268.40000000000003"/>
    <n v="1631.0869"/>
    <m/>
    <n v="3183.4195"/>
    <n v="3451.8195000000001"/>
    <n v="14.37345"/>
    <n v="2346.571826071021"/>
    <m/>
    <x v="0"/>
    <n v="1"/>
    <n v="268.40000000000003"/>
    <n v="3451.8195000000001"/>
    <n v="1899.4869000000001"/>
  </r>
  <r>
    <n v="1"/>
    <n v="12.64"/>
    <n v="118.36749999999999"/>
    <n v="471.55035000000004"/>
    <m/>
    <n v="1272.26208"/>
    <n v="1390.62958"/>
    <n v="7.4139974999999998"/>
    <n v="1210.3898265246676"/>
    <m/>
    <x v="0"/>
    <n v="1"/>
    <n v="118.36749999999999"/>
    <n v="1390.62958"/>
    <n v="589.91785000000004"/>
  </r>
  <r>
    <n v="1"/>
    <n v="8.18"/>
    <n v="76.9876"/>
    <n v="266.63580000000002"/>
    <m/>
    <n v="788.06033999999988"/>
    <n v="865.04793999999993"/>
    <n v="4.8280049999999992"/>
    <n v="788.20745952641971"/>
    <m/>
    <x v="0"/>
    <n v="1"/>
    <n v="76.9876"/>
    <n v="865.04793999999993"/>
    <n v="343.6234"/>
  </r>
  <r>
    <n v="2"/>
    <n v="16.450000000000003"/>
    <n v="148.0025"/>
    <n v="533.27160000000003"/>
    <m/>
    <n v="1582.0911900000001"/>
    <n v="1730.0936900000002"/>
    <n v="9.7112925000000008"/>
    <n v="1585.4401953069591"/>
    <m/>
    <x v="0"/>
    <n v="1"/>
    <n v="148.0025"/>
    <n v="1730.0936900000002"/>
    <n v="681.27410000000009"/>
  </r>
  <r>
    <n v="10"/>
    <n v="8.41"/>
    <n v="78.180000000000007"/>
    <n v="0"/>
    <m/>
    <n v="557.91098999999997"/>
    <n v="636.09098999999992"/>
    <n v="5.1658425000000001"/>
    <n v="843.36192552381567"/>
    <m/>
    <x v="1"/>
    <n v="1"/>
    <n v="78.180000000000007"/>
    <n v="636.09098999999992"/>
    <n v="78.180000000000007"/>
  </r>
  <r>
    <n v="10"/>
    <n v="8.3000000000000007"/>
    <n v="78.400000000000006"/>
    <n v="0"/>
    <m/>
    <n v="550.61369999999999"/>
    <n v="629.01369999999997"/>
    <n v="5.0982750000000001"/>
    <n v="832.33103232433655"/>
    <m/>
    <x v="1"/>
    <n v="1"/>
    <n v="78.400000000000006"/>
    <n v="629.01369999999997"/>
    <n v="78.400000000000006"/>
  </r>
  <r>
    <n v="10"/>
    <n v="11.2"/>
    <n v="84"/>
    <n v="0"/>
    <m/>
    <n v="742.99679999999989"/>
    <n v="826.99679999999989"/>
    <n v="6.879599999999999"/>
    <n v="1123.1454894015142"/>
    <m/>
    <x v="1"/>
    <n v="1"/>
    <n v="84"/>
    <n v="826.99679999999989"/>
    <n v="84"/>
  </r>
  <r>
    <n v="10"/>
    <n v="10.92"/>
    <n v="81.899999999999991"/>
    <n v="0"/>
    <m/>
    <n v="724.42187999999999"/>
    <n v="806.32187999999996"/>
    <n v="6.7076099999999999"/>
    <n v="1095.0668521664763"/>
    <m/>
    <x v="1"/>
    <n v="1"/>
    <n v="81.899999999999991"/>
    <n v="806.32187999999996"/>
    <n v="81.899999999999991"/>
  </r>
  <r>
    <n v="10"/>
    <n v="14.48"/>
    <n v="108.6"/>
    <n v="0"/>
    <m/>
    <n v="960.58871999999997"/>
    <n v="1069.1887199999999"/>
    <n v="8.8943399999999997"/>
    <n v="1452.0666684405292"/>
    <m/>
    <x v="1"/>
    <n v="1"/>
    <n v="108.6"/>
    <n v="1069.1887199999999"/>
    <n v="108.6"/>
  </r>
  <r>
    <n v="10"/>
    <n v="14.100000000000001"/>
    <n v="105.75000000000001"/>
    <n v="0"/>
    <m/>
    <n v="935.37990000000002"/>
    <n v="1041.1299000000001"/>
    <n v="8.6609250000000007"/>
    <n v="1413.9599464786922"/>
    <m/>
    <x v="1"/>
    <n v="1"/>
    <n v="105.75000000000001"/>
    <n v="1041.1299000000001"/>
    <n v="105.75000000000001"/>
  </r>
  <r>
    <n v="10"/>
    <n v="18.169999999999998"/>
    <n v="136.27499999999998"/>
    <n v="0"/>
    <m/>
    <n v="1205.3796299999999"/>
    <n v="1341.65463"/>
    <n v="11.160922499999998"/>
    <n v="1822.1029948594207"/>
    <m/>
    <x v="1"/>
    <n v="1"/>
    <n v="136.27499999999998"/>
    <n v="1341.65463"/>
    <n v="136.27499999999998"/>
  </r>
  <r>
    <n v="10"/>
    <n v="17.899999999999999"/>
    <n v="134.25"/>
    <n v="0"/>
    <m/>
    <n v="1187.4680999999998"/>
    <n v="1321.7180999999998"/>
    <n v="10.995074999999998"/>
    <n v="1795.0271660970627"/>
    <m/>
    <x v="1"/>
    <n v="1"/>
    <n v="134.25"/>
    <n v="1321.7180999999998"/>
    <n v="134.25"/>
  </r>
  <r>
    <n v="10"/>
    <n v="20.13"/>
    <n v="150.97499999999999"/>
    <n v="0"/>
    <m/>
    <n v="1335.4040699999998"/>
    <n v="1486.3790699999997"/>
    <n v="12.364852499999998"/>
    <n v="2018.6534555046856"/>
    <m/>
    <x v="1"/>
    <n v="1"/>
    <n v="150.97499999999999"/>
    <n v="1486.3790699999997"/>
    <n v="150.97499999999999"/>
  </r>
  <r>
    <n v="10"/>
    <n v="19.599999999999998"/>
    <n v="147"/>
    <n v="0"/>
    <m/>
    <n v="1300.2443999999996"/>
    <n v="1447.2443999999996"/>
    <n v="12.039299999999997"/>
    <n v="1965.5046064526496"/>
    <m/>
    <x v="1"/>
    <n v="1"/>
    <n v="147"/>
    <n v="1447.2443999999996"/>
    <n v="147"/>
  </r>
  <r>
    <n v="10"/>
    <n v="29.259999999999998"/>
    <n v="219.45"/>
    <n v="0"/>
    <m/>
    <n v="1941.0791399999998"/>
    <n v="2160.5291399999996"/>
    <n v="17.972954999999999"/>
    <n v="2934.217591061456"/>
    <m/>
    <x v="1"/>
    <n v="1"/>
    <n v="219.45"/>
    <n v="2160.5291399999996"/>
    <n v="219.45"/>
  </r>
  <r>
    <n v="10"/>
    <n v="28.659999999999997"/>
    <n v="214.95"/>
    <n v="0"/>
    <m/>
    <n v="1901.2757399999996"/>
    <n v="2116.2257399999994"/>
    <n v="17.604404999999996"/>
    <n v="2874.0490827006602"/>
    <m/>
    <x v="1"/>
    <n v="1"/>
    <n v="214.95"/>
    <n v="2116.2257399999994"/>
    <n v="214.95"/>
  </r>
  <r>
    <n v="10"/>
    <n v="31.41"/>
    <n v="235.57499999999999"/>
    <n v="0"/>
    <m/>
    <n v="2083.7079899999999"/>
    <n v="2319.2829899999997"/>
    <n v="19.293592499999999"/>
    <n v="3149.8214126876396"/>
    <m/>
    <x v="1"/>
    <n v="1"/>
    <n v="235.57499999999999"/>
    <n v="2319.2829899999997"/>
    <n v="235.57499999999999"/>
  </r>
  <r>
    <n v="10"/>
    <n v="30.46"/>
    <n v="228.45"/>
    <n v="0"/>
    <m/>
    <n v="2020.6859400000001"/>
    <n v="2249.1359400000001"/>
    <n v="18.710055000000001"/>
    <n v="3054.5546077830472"/>
    <m/>
    <x v="1"/>
    <n v="1"/>
    <n v="228.45"/>
    <n v="2249.1359400000001"/>
    <n v="228.45"/>
  </r>
  <r>
    <n v="5"/>
    <n v="16.010000000000002"/>
    <n v="120.07500000000002"/>
    <n v="0"/>
    <m/>
    <n v="1062.0873900000001"/>
    <n v="1182.1623900000002"/>
    <n v="9.8341425000000005"/>
    <n v="1605.4963647605575"/>
    <m/>
    <x v="1"/>
    <n v="1"/>
    <n v="120.07500000000002"/>
    <n v="1182.1623900000002"/>
    <n v="120.07500000000002"/>
  </r>
  <r>
    <n v="5"/>
    <n v="15.620000000000001"/>
    <n v="117.15"/>
    <n v="0"/>
    <m/>
    <n v="1036.2151800000001"/>
    <n v="1153.3651800000002"/>
    <n v="9.5945850000000004"/>
    <n v="1566.3868343260406"/>
    <m/>
    <x v="1"/>
    <n v="1"/>
    <n v="117.15"/>
    <n v="1153.3651800000002"/>
    <n v="117.15"/>
  </r>
  <r>
    <n v="3"/>
    <n v="24.41"/>
    <n v="115.94750000000002"/>
    <n v="0"/>
    <m/>
    <n v="1619.3349899999998"/>
    <n v="1735.2824899999998"/>
    <n v="14.9938425"/>
    <n v="2447.8554818116932"/>
    <m/>
    <x v="0"/>
    <n v="1"/>
    <n v="115.94750000000002"/>
    <n v="1735.2824899999998"/>
    <n v="115.94750000000002"/>
  </r>
  <r>
    <n v="3"/>
    <n v="24.05"/>
    <n v="114.23750000000001"/>
    <n v="0"/>
    <m/>
    <n v="1595.4529499999999"/>
    <n v="1709.6904499999998"/>
    <n v="14.772712499999999"/>
    <n v="2411.7543767952156"/>
    <m/>
    <x v="0"/>
    <n v="1"/>
    <n v="114.23750000000001"/>
    <n v="1709.6904499999998"/>
    <n v="114.23750000000001"/>
  </r>
  <r>
    <n v="3"/>
    <n v="25.87"/>
    <n v="122.88249999999999"/>
    <n v="0"/>
    <m/>
    <n v="1716.18993"/>
    <n v="1839.0724299999999"/>
    <n v="15.8906475"/>
    <n v="2594.2655188229619"/>
    <m/>
    <x v="0"/>
    <n v="1"/>
    <n v="122.88249999999999"/>
    <n v="1839.0724299999999"/>
    <n v="122.88249999999999"/>
  </r>
  <r>
    <n v="3"/>
    <n v="25.84"/>
    <n v="122.73999999999998"/>
    <n v="0"/>
    <m/>
    <n v="1714.19976"/>
    <n v="1836.93976"/>
    <n v="15.872219999999999"/>
    <n v="2591.2570934049222"/>
    <m/>
    <x v="0"/>
    <n v="1"/>
    <n v="122.73999999999998"/>
    <n v="1836.93976"/>
    <n v="122.73999999999998"/>
  </r>
  <r>
    <n v="3"/>
    <n v="27.46"/>
    <n v="130.435"/>
    <n v="0"/>
    <m/>
    <n v="1821.6689399999998"/>
    <n v="1952.1039399999997"/>
    <n v="16.867304999999998"/>
    <n v="2753.7120659790694"/>
    <m/>
    <x v="0"/>
    <n v="1"/>
    <n v="130.435"/>
    <n v="1952.1039399999997"/>
    <n v="130.435"/>
  </r>
  <r>
    <n v="3"/>
    <n v="27.2"/>
    <n v="129.19999999999999"/>
    <n v="0"/>
    <m/>
    <n v="1804.4207999999999"/>
    <n v="1933.6207999999999"/>
    <n v="16.707599999999999"/>
    <n v="2727.6390456893919"/>
    <m/>
    <x v="0"/>
    <n v="1"/>
    <n v="129.19999999999999"/>
    <n v="1933.6207999999999"/>
    <n v="129.19999999999999"/>
  </r>
  <r>
    <n v="3"/>
    <n v="30.31"/>
    <n v="143.9725"/>
    <n v="0"/>
    <m/>
    <n v="2010.7350899999997"/>
    <n v="2154.7075899999995"/>
    <n v="18.617917499999997"/>
    <n v="3039.5124806928475"/>
    <m/>
    <x v="0"/>
    <n v="1"/>
    <n v="143.9725"/>
    <n v="2154.7075899999995"/>
    <n v="143.9725"/>
  </r>
  <r>
    <n v="3"/>
    <n v="30.23"/>
    <n v="143.5925"/>
    <n v="0"/>
    <m/>
    <n v="2005.42797"/>
    <n v="2149.0204699999999"/>
    <n v="18.568777499999999"/>
    <n v="3031.4900129114085"/>
    <m/>
    <x v="0"/>
    <n v="1"/>
    <n v="143.5925"/>
    <n v="2149.0204699999999"/>
    <n v="143.5925"/>
  </r>
  <r>
    <n v="3"/>
    <n v="32.28"/>
    <n v="153.33000000000001"/>
    <n v="0"/>
    <m/>
    <n v="2141.42292"/>
    <n v="2294.7529199999999"/>
    <n v="19.82799"/>
    <n v="3237.065749810793"/>
    <m/>
    <x v="0"/>
    <n v="1"/>
    <n v="153.33000000000001"/>
    <n v="2294.7529199999999"/>
    <n v="153.33000000000001"/>
  </r>
  <r>
    <n v="3"/>
    <n v="32.049999999999997"/>
    <n v="152.23749999999998"/>
    <n v="0"/>
    <m/>
    <n v="2126.1649499999999"/>
    <n v="2278.40245"/>
    <n v="19.686712499999999"/>
    <n v="3214.0011549391547"/>
    <m/>
    <x v="0"/>
    <n v="1"/>
    <n v="152.23749999999998"/>
    <n v="2278.40245"/>
    <n v="152.23749999999998"/>
  </r>
  <r>
    <n v="3"/>
    <n v="37.32"/>
    <n v="177.26999999999998"/>
    <n v="0"/>
    <m/>
    <n v="2475.7714799999999"/>
    <n v="2653.0414799999999"/>
    <n v="22.92381"/>
    <n v="3742.4812200414744"/>
    <m/>
    <x v="0"/>
    <n v="1"/>
    <n v="177.26999999999998"/>
    <n v="2653.0414799999999"/>
    <n v="177.26999999999998"/>
  </r>
  <r>
    <n v="3"/>
    <n v="35.69"/>
    <n v="169.52749999999997"/>
    <n v="0"/>
    <m/>
    <n v="2367.6389099999997"/>
    <n v="2537.1664099999998"/>
    <n v="21.922582499999997"/>
    <n v="3579.0234389946463"/>
    <m/>
    <x v="0"/>
    <n v="1"/>
    <n v="169.52749999999997"/>
    <n v="2537.1664099999998"/>
    <n v="169.52749999999997"/>
  </r>
  <r>
    <n v="3"/>
    <n v="38.78"/>
    <n v="184.20499999999998"/>
    <n v="0"/>
    <m/>
    <n v="2572.6264200000001"/>
    <n v="2756.83142"/>
    <n v="23.820615"/>
    <n v="3888.8912570527432"/>
    <m/>
    <x v="0"/>
    <n v="1"/>
    <n v="184.20499999999998"/>
    <n v="2756.83142"/>
    <n v="184.20499999999998"/>
  </r>
  <r>
    <n v="3"/>
    <n v="38.6"/>
    <n v="183.35000000000002"/>
    <n v="0"/>
    <m/>
    <n v="2560.6853999999998"/>
    <n v="2744.0353999999998"/>
    <n v="23.710049999999999"/>
    <n v="3870.8407045445047"/>
    <m/>
    <x v="0"/>
    <n v="1"/>
    <n v="183.35000000000002"/>
    <n v="2744.0353999999998"/>
    <n v="183.35000000000002"/>
  </r>
  <r>
    <n v="2"/>
    <n v="30.08"/>
    <n v="142.88"/>
    <n v="0"/>
    <m/>
    <n v="1995.4771199999996"/>
    <n v="2138.3571199999997"/>
    <n v="18.476639999999996"/>
    <n v="3016.4478858212092"/>
    <m/>
    <x v="0"/>
    <n v="1"/>
    <n v="142.88"/>
    <n v="2138.3571199999997"/>
    <n v="142.88"/>
  </r>
  <r>
    <n v="2"/>
    <n v="29.52"/>
    <n v="140.22"/>
    <n v="0"/>
    <m/>
    <n v="1958.3272799999997"/>
    <n v="2098.5472799999998"/>
    <n v="18.132659999999998"/>
    <n v="2960.290611351134"/>
    <m/>
    <x v="0"/>
    <n v="1"/>
    <n v="140.22"/>
    <n v="2098.5472799999998"/>
    <n v="140.22"/>
  </r>
  <r>
    <n v="2"/>
    <n v="34.6"/>
    <n v="164.35000000000002"/>
    <n v="0"/>
    <m/>
    <n v="2295.3293999999996"/>
    <n v="2459.6793999999995"/>
    <n v="21.253049999999998"/>
    <n v="3469.7173154725351"/>
    <m/>
    <x v="0"/>
    <n v="1"/>
    <n v="164.35000000000002"/>
    <n v="2459.6793999999995"/>
    <n v="164.35000000000002"/>
  </r>
  <r>
    <n v="2"/>
    <n v="33.799999999999997"/>
    <n v="160.54999999999998"/>
    <n v="0"/>
    <m/>
    <n v="2242.2581999999998"/>
    <n v="2402.8081999999999"/>
    <n v="20.761649999999996"/>
    <n v="3389.4926376581407"/>
    <m/>
    <x v="0"/>
    <n v="1"/>
    <n v="160.54999999999998"/>
    <n v="2402.8081999999999"/>
    <n v="160.54999999999998"/>
  </r>
  <r>
    <n v="1"/>
    <n v="5.73"/>
    <n v="66.64"/>
    <n v="153.06870000000001"/>
    <m/>
    <n v="499.35827999999992"/>
    <n v="565.99827999999991"/>
    <n v="3.2063849999999996"/>
    <n v="452.32187178468666"/>
    <m/>
    <x v="0"/>
    <n v="1"/>
    <n v="66.64"/>
    <n v="565.99827999999991"/>
    <n v="219.70870000000002"/>
  </r>
  <r>
    <n v="1"/>
    <n v="6.9"/>
    <n v="93.460000000000008"/>
    <n v="357.16030000000001"/>
    <m/>
    <n v="762.49158999999997"/>
    <n v="855.95159000000001"/>
    <n v="3.7530674999999998"/>
    <n v="537.52799011570232"/>
    <m/>
    <x v="0"/>
    <n v="1"/>
    <n v="93.460000000000008"/>
    <n v="855.95159000000001"/>
    <n v="450.62030000000004"/>
  </r>
  <r>
    <n v="1"/>
    <n v="7.58"/>
    <n v="104.86459999999998"/>
    <n v="330.00295"/>
    <m/>
    <n v="798.35628999999994"/>
    <n v="903.22088999999994"/>
    <n v="4.3366049999999996"/>
    <n v="632.82051547390165"/>
    <m/>
    <x v="2"/>
    <n v="1"/>
    <n v="104.86459999999998"/>
    <n v="903.22088999999994"/>
    <n v="434.86754999999999"/>
  </r>
  <r>
    <n v="1"/>
    <n v="4.0999999999999996"/>
    <n v="29.443999999999996"/>
    <n v="0"/>
    <m/>
    <n v="246.12634999999995"/>
    <n v="275.57034999999996"/>
    <n v="2.0884499999999995"/>
    <n v="285.19604887874345"/>
    <m/>
    <x v="0"/>
    <n v="1"/>
    <n v="29.443999999999996"/>
    <n v="275.57034999999996"/>
    <n v="29.443999999999996"/>
  </r>
  <r>
    <n v="1"/>
    <n v="4.0199999999999996"/>
    <n v="35.302999999999997"/>
    <n v="0"/>
    <m/>
    <n v="239.49244999999996"/>
    <n v="274.79544999999996"/>
    <n v="2.0270249999999996"/>
    <n v="303.56458158969241"/>
    <m/>
    <x v="0"/>
    <n v="1"/>
    <n v="35.302999999999997"/>
    <n v="274.79544999999996"/>
    <n v="35.302999999999997"/>
  </r>
  <r>
    <n v="2"/>
    <n v="12.42"/>
    <n v="263.09350000000001"/>
    <n v="0"/>
    <m/>
    <n v="911.77699999999993"/>
    <n v="1174.8705"/>
    <n v="6.9717374999999997"/>
    <n v="1044.078182134245"/>
    <m/>
    <x v="0"/>
    <n v="1"/>
    <n v="263.09350000000001"/>
    <n v="1174.8705"/>
    <n v="263.09350000000001"/>
  </r>
  <r>
    <n v="1"/>
    <n v="6.21"/>
    <n v="93.935000000000002"/>
    <n v="0"/>
    <m/>
    <n v="457.61417999999992"/>
    <n v="551.54917999999998"/>
    <n v="3.4827974999999998"/>
    <n v="521.57914473138055"/>
    <m/>
    <x v="0"/>
    <n v="1"/>
    <n v="93.935000000000002"/>
    <n v="551.54917999999998"/>
    <n v="93.935000000000002"/>
  </r>
  <r>
    <n v="2"/>
    <n v="2.64"/>
    <n v="34.67"/>
    <n v="0"/>
    <m/>
    <n v="198.81579999999997"/>
    <n v="233.48579999999998"/>
    <n v="1.5970499999999999"/>
    <n v="239.17209458581823"/>
    <m/>
    <x v="3"/>
    <n v="1"/>
    <n v="34.67"/>
    <n v="233.48579999999998"/>
    <n v="34.67"/>
  </r>
  <r>
    <n v="1"/>
    <n v="1.3"/>
    <n v="17.704800000000002"/>
    <n v="0"/>
    <m/>
    <n v="99.727019999999996"/>
    <n v="117.43182"/>
    <n v="0.78623999999999994"/>
    <n v="117.74626194994129"/>
    <m/>
    <x v="3"/>
    <n v="1"/>
    <n v="17.704800000000002"/>
    <n v="117.43182"/>
    <n v="17.704800000000002"/>
  </r>
  <r>
    <n v="1"/>
    <n v="2.92"/>
    <n v="50.983200000000004"/>
    <n v="0"/>
    <m/>
    <n v="270.99173000000002"/>
    <n v="321.97493000000003"/>
    <n v="1.7014724999999999"/>
    <n v="254.81027000104481"/>
    <m/>
    <x v="3"/>
    <n v="1"/>
    <n v="50.983200000000004"/>
    <n v="321.97493000000003"/>
    <n v="50.983200000000004"/>
  </r>
  <r>
    <n v="2"/>
    <n v="5.74"/>
    <n v="98.920000000000016"/>
    <n v="0"/>
    <m/>
    <n v="535.34956"/>
    <n v="634.26955999999996"/>
    <n v="3.34152"/>
    <n v="500.42161328725052"/>
    <m/>
    <x v="3"/>
    <n v="1"/>
    <n v="98.920000000000016"/>
    <n v="634.26955999999996"/>
    <n v="98.920000000000016"/>
  </r>
  <r>
    <n v="1"/>
    <n v="7.25"/>
    <n v="66.5976"/>
    <n v="0"/>
    <m/>
    <n v="541.49528999999995"/>
    <n v="608.0928899999999"/>
    <n v="4.213754999999999"/>
    <n v="631.04637263796656"/>
    <m/>
    <x v="3"/>
    <n v="1"/>
    <n v="66.5976"/>
    <n v="608.0928899999999"/>
    <n v="66.5976"/>
  </r>
  <r>
    <n v="2"/>
    <n v="14.35"/>
    <n v="126.7075"/>
    <n v="0"/>
    <m/>
    <n v="1076.3315299999997"/>
    <n v="1203.0390299999997"/>
    <n v="8.3353724999999983"/>
    <n v="1248.2943552036743"/>
    <m/>
    <x v="3"/>
    <n v="1"/>
    <n v="126.7075"/>
    <n v="1203.0390299999997"/>
    <n v="126.7075"/>
  </r>
  <r>
    <n v="2"/>
    <n v="10.09"/>
    <n v="96.87"/>
    <n v="0"/>
    <m/>
    <n v="806.52517"/>
    <n v="903.39517000000001"/>
    <n v="5.6695275000000001"/>
    <n v="827.32767107990276"/>
    <m/>
    <x v="0"/>
    <n v="1"/>
    <n v="96.87"/>
    <n v="903.39517000000001"/>
    <n v="96.87"/>
  </r>
  <r>
    <n v="6"/>
    <n v="31.36"/>
    <n v="297.82"/>
    <n v="0"/>
    <m/>
    <n v="2487.9046799999996"/>
    <n v="2785.7246799999998"/>
    <n v="17.641259999999999"/>
    <n v="2574.3066861771185"/>
    <m/>
    <x v="0"/>
    <n v="1"/>
    <n v="297.82"/>
    <n v="2785.7246799999998"/>
    <n v="297.82"/>
  </r>
  <r>
    <n v="6"/>
    <n v="24.849999999999998"/>
    <n v="170.05"/>
    <n v="0"/>
    <m/>
    <n v="1496.63465"/>
    <n v="1666.6846499999999"/>
    <n v="12.684262499999999"/>
    <n v="1850.9551904442026"/>
    <m/>
    <x v="0"/>
    <n v="1"/>
    <n v="170.05"/>
    <n v="1666.6846499999999"/>
    <n v="170.05"/>
  </r>
  <r>
    <n v="3"/>
    <n v="19.39"/>
    <n v="229.58000000000004"/>
    <n v="0"/>
    <m/>
    <n v="1492.5388800000001"/>
    <n v="1722.11888"/>
    <n v="11.0994975"/>
    <n v="1619.6978349310773"/>
    <m/>
    <x v="0"/>
    <n v="1"/>
    <n v="229.58000000000004"/>
    <n v="1722.11888"/>
    <n v="229.58000000000004"/>
  </r>
  <r>
    <n v="2"/>
    <n v="10.260000000000002"/>
    <n v="133.48000000000002"/>
    <n v="0"/>
    <m/>
    <n v="651.01276999999993"/>
    <n v="784.49276999999995"/>
    <n v="5.70024"/>
    <n v="831.80940277589355"/>
    <m/>
    <x v="0"/>
    <n v="1"/>
    <n v="133.48000000000002"/>
    <n v="784.49276999999995"/>
    <n v="133.48000000000002"/>
  </r>
  <r>
    <n v="3"/>
    <n v="15.379999999999999"/>
    <n v="155.94450000000001"/>
    <n v="0"/>
    <m/>
    <n v="1085.9042999999999"/>
    <n v="1241.8488"/>
    <n v="8.5687874999999991"/>
    <n v="1250.4031431814346"/>
    <m/>
    <x v="0"/>
    <n v="1"/>
    <n v="155.94450000000001"/>
    <n v="1241.8488"/>
    <n v="155.94450000000001"/>
  </r>
  <r>
    <n v="5"/>
    <n v="25.72"/>
    <n v="250.89999999999998"/>
    <n v="0"/>
    <m/>
    <n v="1816.1301299999998"/>
    <n v="2067.0301299999996"/>
    <n v="14.324309999999997"/>
    <n v="2090.2796630101111"/>
    <m/>
    <x v="0"/>
    <n v="1"/>
    <n v="250.89999999999998"/>
    <n v="2067.0301299999996"/>
    <n v="250.89999999999998"/>
  </r>
  <r>
    <n v="2"/>
    <n v="10.059999999999999"/>
    <n v="98.724999999999966"/>
    <n v="0"/>
    <m/>
    <n v="710.50883999999974"/>
    <n v="809.23383999999965"/>
    <n v="5.5958174999999981"/>
    <n v="816.57151500952455"/>
    <m/>
    <x v="0"/>
    <n v="1"/>
    <n v="98.724999999999966"/>
    <n v="809.23383999999965"/>
    <n v="98.724999999999966"/>
  </r>
  <r>
    <n v="3"/>
    <n v="17.420000000000002"/>
    <n v="135.05000000000001"/>
    <n v="0"/>
    <m/>
    <n v="1177.79556"/>
    <n v="1312.84556"/>
    <n v="10.036845"/>
    <n v="1464.6299182497953"/>
    <m/>
    <x v="0"/>
    <n v="1"/>
    <n v="135.05000000000001"/>
    <n v="1312.84556"/>
    <n v="135.05000000000001"/>
  </r>
  <r>
    <n v="1"/>
    <n v="3.89"/>
    <n v="27"/>
    <n v="0"/>
    <m/>
    <n v="236.99845000000002"/>
    <n v="263.99845000000005"/>
    <n v="1.9963125000000002"/>
    <n v="284.16563504911028"/>
    <m/>
    <x v="0"/>
    <n v="1"/>
    <n v="27"/>
    <n v="263.99845000000005"/>
    <n v="27"/>
  </r>
  <r>
    <n v="2"/>
    <n v="7.92"/>
    <n v="54.42"/>
    <n v="0"/>
    <m/>
    <n v="477.97724000000005"/>
    <n v="532.39724000000001"/>
    <n v="4.0294800000000004"/>
    <n v="573.57740489912726"/>
    <m/>
    <x v="0"/>
    <n v="1"/>
    <n v="54.42"/>
    <n v="532.39724000000001"/>
    <n v="54.42"/>
  </r>
  <r>
    <n v="1"/>
    <n v="5.52"/>
    <n v="85.090999999999994"/>
    <n v="0"/>
    <m/>
    <n v="372.89279999999991"/>
    <n v="457.98379999999992"/>
    <n v="3.1326749999999994"/>
    <n v="469.1452624567973"/>
    <m/>
    <x v="0"/>
    <n v="1"/>
    <n v="85.090999999999994"/>
    <n v="457.98379999999992"/>
    <n v="85.090999999999994"/>
  </r>
  <r>
    <n v="1"/>
    <n v="5.38"/>
    <n v="82.02"/>
    <n v="0"/>
    <m/>
    <n v="363.60533999999996"/>
    <n v="445.62533999999994"/>
    <n v="3.0466799999999998"/>
    <n v="456.26676505602251"/>
    <m/>
    <x v="0"/>
    <n v="1"/>
    <n v="82.02"/>
    <n v="445.62533999999994"/>
    <n v="82.02"/>
  </r>
  <r>
    <n v="1"/>
    <n v="5.31"/>
    <n v="81.599999999999994"/>
    <n v="0"/>
    <m/>
    <n v="359.62499999999989"/>
    <n v="441.22499999999991"/>
    <n v="3.0098249999999993"/>
    <n v="450.74740902711898"/>
    <m/>
    <x v="0"/>
    <n v="1"/>
    <n v="81.599999999999994"/>
    <n v="441.22499999999991"/>
    <n v="81.599999999999994"/>
  </r>
  <r>
    <n v="2"/>
    <n v="2.68"/>
    <n v="34.980000000000004"/>
    <n v="0"/>
    <m/>
    <n v="199.82346000000001"/>
    <n v="234.80346000000003"/>
    <n v="1.6216200000000001"/>
    <n v="259.00175650071537"/>
    <m/>
    <x v="3"/>
    <n v="1"/>
    <n v="34.980000000000004"/>
    <n v="234.80346000000003"/>
    <n v="34.980000000000004"/>
  </r>
  <r>
    <n v="1"/>
    <n v="13.29"/>
    <n v="420.25"/>
    <n v="0"/>
    <m/>
    <n v="2181.3967500000003"/>
    <n v="2601.6467500000003"/>
    <n v="9.3397500000000004"/>
    <n v="1524.7831392287042"/>
    <m/>
    <x v="4"/>
    <n v="1"/>
    <n v="420.25"/>
    <n v="2601.6467500000003"/>
    <n v="420.25"/>
  </r>
  <r>
    <n v="1"/>
    <n v="13.2"/>
    <n v="520.0652"/>
    <n v="0"/>
    <m/>
    <n v="2213.9290499999997"/>
    <n v="2733.9942499999997"/>
    <n v="9.2294999999999998"/>
    <n v="1506.7840127959876"/>
    <m/>
    <x v="4"/>
    <n v="1"/>
    <n v="520.0652"/>
    <n v="2733.9942499999997"/>
    <n v="520.0652"/>
  </r>
  <r>
    <n v="1"/>
    <n v="10.15"/>
    <n v="425.1"/>
    <n v="0"/>
    <m/>
    <n v="1713.4884000000002"/>
    <n v="2138.5884000000001"/>
    <n v="7.0875000000000004"/>
    <n v="1157.0866992460656"/>
    <m/>
    <x v="4"/>
    <n v="1"/>
    <n v="425.1"/>
    <n v="2138.5884000000001"/>
    <n v="425.1"/>
  </r>
  <r>
    <n v="1"/>
    <n v="2.4700000000000002"/>
    <n v="168.33169999999998"/>
    <n v="0"/>
    <m/>
    <n v="169.97915"/>
    <n v="338.31084999999996"/>
    <n v="0.8347500000000001"/>
    <n v="136.27910013342552"/>
    <m/>
    <x v="5"/>
    <n v="1"/>
    <n v="168.33169999999998"/>
    <n v="338.31084999999996"/>
    <n v="168.33169999999998"/>
  </r>
  <r>
    <n v="1"/>
    <n v="2.54"/>
    <n v="17.779999999999998"/>
    <n v="0"/>
    <m/>
    <n v="175.10969999999998"/>
    <n v="192.88969999999998"/>
    <n v="0.88987499999999997"/>
    <n v="145.27866334978378"/>
    <m/>
    <x v="5"/>
    <n v="1"/>
    <n v="17.779999999999998"/>
    <n v="192.88969999999998"/>
    <n v="17.779999999999998"/>
  </r>
  <r>
    <n v="1"/>
    <n v="2.8"/>
    <n v="180.69060000000002"/>
    <n v="0"/>
    <m/>
    <n v="226.73869999999999"/>
    <n v="407.42930000000001"/>
    <n v="1.0631249999999999"/>
    <n v="173.56300488690982"/>
    <m/>
    <x v="5"/>
    <n v="1"/>
    <n v="180.69060000000002"/>
    <n v="407.42930000000001"/>
    <n v="180.69060000000002"/>
  </r>
  <r>
    <n v="1"/>
    <n v="2.93"/>
    <n v="30.32"/>
    <n v="0"/>
    <m/>
    <n v="250.11190000000005"/>
    <n v="280.43190000000004"/>
    <n v="1.1576250000000003"/>
    <n v="188.99082754352409"/>
    <m/>
    <x v="5"/>
    <n v="1"/>
    <n v="30.32"/>
    <n v="280.43190000000004"/>
    <n v="30.32"/>
  </r>
  <r>
    <n v="1"/>
    <n v="3.01"/>
    <n v="181.78030000000001"/>
    <n v="0"/>
    <m/>
    <n v="275.7611"/>
    <n v="457.54140000000001"/>
    <n v="1.1969999999999998"/>
    <n v="195.41908698377995"/>
    <m/>
    <x v="5"/>
    <n v="1"/>
    <n v="181.78030000000001"/>
    <n v="457.54140000000001"/>
    <n v="181.78030000000001"/>
  </r>
  <r>
    <n v="1"/>
    <n v="3.16"/>
    <n v="31.460000000000004"/>
    <n v="0"/>
    <m/>
    <n v="293.42875000000004"/>
    <n v="324.88875000000002"/>
    <n v="1.3072500000000002"/>
    <n v="213.41821341649657"/>
    <m/>
    <x v="5"/>
    <n v="1"/>
    <n v="31.460000000000004"/>
    <n v="324.88875000000002"/>
    <n v="31.460000000000004"/>
  </r>
  <r>
    <n v="1"/>
    <n v="5.66"/>
    <n v="237.66460000000001"/>
    <n v="0"/>
    <m/>
    <n v="921.65415000000007"/>
    <n v="1159.3187500000001"/>
    <n v="3.9847500000000009"/>
    <n v="650.53985535389927"/>
    <m/>
    <x v="5"/>
    <n v="1"/>
    <n v="237.66460000000001"/>
    <n v="1159.3187500000001"/>
    <n v="237.66460000000001"/>
  </r>
  <r>
    <n v="1"/>
    <n v="6.06"/>
    <n v="88.84259999999999"/>
    <n v="0"/>
    <m/>
    <n v="661.33709999999996"/>
    <n v="750.17969999999991"/>
    <n v="4.6147499999999999"/>
    <n v="753.39200639799378"/>
    <m/>
    <x v="4"/>
    <n v="1"/>
    <n v="88.84259999999999"/>
    <n v="750.17969999999991"/>
    <n v="88.84259999999999"/>
  </r>
  <r>
    <n v="2"/>
    <n v="5.2200000000000006"/>
    <n v="126.965"/>
    <n v="0"/>
    <m/>
    <n v="733.38790000000017"/>
    <n v="860.3529000000002"/>
    <n v="3.8036250000000011"/>
    <n v="620.96986192872203"/>
    <m/>
    <x v="6"/>
    <n v="1"/>
    <n v="126.965"/>
    <n v="860.3529000000002"/>
    <n v="126.965"/>
  </r>
  <r>
    <n v="1"/>
    <n v="2.37"/>
    <n v="50.445"/>
    <n v="0"/>
    <m/>
    <n v="234.53043"/>
    <n v="284.97543000000002"/>
    <n v="1.3943474999999999"/>
    <n v="227.63752329834261"/>
    <m/>
    <x v="3"/>
    <n v="1"/>
    <n v="50.445"/>
    <n v="284.97543000000002"/>
    <n v="50.445"/>
  </r>
  <r>
    <n v="1"/>
    <n v="1.94"/>
    <n v="172.07060000000001"/>
    <n v="0"/>
    <m/>
    <n v="373.25490000000002"/>
    <n v="545.32550000000003"/>
    <n v="1.30725"/>
    <n v="213.41821341649654"/>
    <m/>
    <x v="7"/>
    <n v="1"/>
    <n v="172.07060000000001"/>
    <n v="545.32550000000003"/>
    <n v="172.07060000000001"/>
  </r>
  <r>
    <n v="1"/>
    <n v="4.57"/>
    <n v="180.36499999999998"/>
    <n v="0"/>
    <m/>
    <n v="489.51565000000005"/>
    <n v="669.88065000000006"/>
    <n v="3.4886250000000008"/>
    <n v="569.5437864066746"/>
    <m/>
    <x v="6"/>
    <n v="1"/>
    <n v="180.36499999999998"/>
    <n v="669.88065000000006"/>
    <n v="180.36499999999998"/>
  </r>
  <r>
    <n v="1"/>
    <n v="4.4000000000000004"/>
    <n v="181.79480000000001"/>
    <n v="0"/>
    <m/>
    <n v="476.70305000000008"/>
    <n v="658.49785000000008"/>
    <n v="3.354750000000001"/>
    <n v="547.68770430980453"/>
    <m/>
    <x v="6"/>
    <n v="1"/>
    <n v="181.79480000000001"/>
    <n v="658.49785000000008"/>
    <n v="181.79480000000001"/>
  </r>
  <r>
    <n v="1"/>
    <n v="3.71"/>
    <n v="173.94"/>
    <n v="0"/>
    <m/>
    <n v="366.36555000000004"/>
    <n v="540.30555000000004"/>
    <n v="2.8665000000000003"/>
    <n v="467.97728725063098"/>
    <m/>
    <x v="6"/>
    <n v="1"/>
    <n v="173.94"/>
    <n v="540.30555000000004"/>
    <n v="173.94"/>
  </r>
  <r>
    <n v="1"/>
    <n v="16.53"/>
    <n v="198.55530000000002"/>
    <n v="314.36689999999999"/>
    <m/>
    <n v="1364.5132700000001"/>
    <n v="1563.0685700000001"/>
    <n v="9.7235775000000011"/>
    <n v="1523.9176681228801"/>
    <m/>
    <x v="0"/>
    <n v="1"/>
    <n v="198.55530000000002"/>
    <n v="1563.0685700000001"/>
    <n v="512.92219999999998"/>
  </r>
  <r>
    <n v="3"/>
    <n v="57.039999999999992"/>
    <n v="641.4052999999999"/>
    <n v="571.9502500000001"/>
    <m/>
    <n v="4242.4871199999989"/>
    <n v="4883.8924199999983"/>
    <n v="33.986452499999992"/>
    <n v="4452.8142368742656"/>
    <m/>
    <x v="0"/>
    <n v="1"/>
    <n v="641.4052999999999"/>
    <n v="4883.8924199999983"/>
    <n v="1213.35555"/>
  </r>
  <r>
    <n v="3"/>
    <n v="41.629999999999995"/>
    <n v="391.48879999999997"/>
    <n v="539.85520000000008"/>
    <m/>
    <n v="3172.1867199999997"/>
    <n v="3563.6755199999998"/>
    <n v="24.373439999999999"/>
    <n v="3125.41"/>
    <m/>
    <x v="0"/>
    <n v="1"/>
    <n v="391.48879999999997"/>
    <n v="3563.6755199999998"/>
    <n v="931.34400000000005"/>
  </r>
  <r>
    <n v="1"/>
    <n v="7.53"/>
    <n v="270.03390000000007"/>
    <n v="47.731099999999998"/>
    <m/>
    <n v="531.34241000000009"/>
    <n v="801.3763100000001"/>
    <n v="4.4778825000000007"/>
    <n v="574.20000000000005"/>
    <m/>
    <x v="0"/>
    <n v="1"/>
    <n v="270.03390000000007"/>
    <n v="801.3763100000001"/>
    <n v="317.7650000000001"/>
  </r>
  <r>
    <n v="3"/>
    <n v="22.66"/>
    <n v="201.85"/>
    <n v="148.131"/>
    <m/>
    <n v="1606.2622200000001"/>
    <n v="1808.11222"/>
    <n v="13.501215"/>
    <n v="1731.26"/>
    <m/>
    <x v="0"/>
    <n v="1"/>
    <n v="201.85"/>
    <n v="1808.11222"/>
    <n v="349.98099999999999"/>
  </r>
  <r>
    <n v="1"/>
    <n v="7.72"/>
    <n v="67.551599999999993"/>
    <m/>
    <n v="622.73198594024598"/>
    <n v="1071.1836259402457"/>
    <n v="1138.7352259402458"/>
    <n v="4.1523299999999992"/>
    <n v="611.9294334692238"/>
    <m/>
    <x v="0"/>
    <n v="1"/>
    <n v="67.551599999999993"/>
    <n v="1138.7352259402458"/>
    <n v="690.28358594024598"/>
  </r>
  <r>
    <n v="1"/>
    <n v="7.84"/>
    <n v="68.311700000000002"/>
    <m/>
    <n v="631.82626274749703"/>
    <n v="1087.5751927474971"/>
    <n v="1155.8868927474971"/>
    <n v="4.2198975000000001"/>
    <n v="621.8868650789301"/>
    <m/>
    <x v="0"/>
    <n v="1"/>
    <n v="68.311700000000002"/>
    <n v="1155.8868927474971"/>
    <n v="700.137962747497"/>
  </r>
  <r>
    <n v="1"/>
    <n v="8.3800000000000008"/>
    <n v="89.545000000000002"/>
    <m/>
    <n v="113.21979658414899"/>
    <n v="641.94162658414893"/>
    <n v="731.48662658414889"/>
    <n v="4.8955725000000001"/>
    <n v="759.1408854878872"/>
    <m/>
    <x v="0"/>
    <n v="1"/>
    <n v="89.545000000000002"/>
    <n v="731.48662658414889"/>
    <n v="202.764796584149"/>
  </r>
  <r>
    <n v="1"/>
    <n v="8.7899999999999991"/>
    <n v="80.804999999999978"/>
    <m/>
    <n v="102.173962771061"/>
    <n v="660.0849527710609"/>
    <n v="740.88995277106085"/>
    <n v="5.1658424999999983"/>
    <n v="801.05079635547418"/>
    <m/>
    <x v="0"/>
    <n v="1"/>
    <n v="80.804999999999978"/>
    <n v="740.88995277106085"/>
    <n v="182.97896277106099"/>
  </r>
  <r>
    <n v="1"/>
    <n v="5.39"/>
    <n v="54.75"/>
    <m/>
    <n v="80.082295144885705"/>
    <n v="411.77729514488567"/>
    <n v="466.52729514488567"/>
    <n v="3.07125"/>
    <n v="476.24898713167323"/>
    <m/>
    <x v="0"/>
    <n v="1"/>
    <n v="54.75"/>
    <n v="466.52729514488567"/>
    <n v="134.83229514488571"/>
  </r>
  <r>
    <n v="1"/>
    <n v="6.47"/>
    <n v="68.784999999999997"/>
    <m/>
    <n v="27.614584532719199"/>
    <n v="431.6190945327192"/>
    <n v="500.40409453271923"/>
    <n v="3.7407824999999999"/>
    <n v="580.07126632637801"/>
    <m/>
    <x v="0"/>
    <n v="1"/>
    <n v="68.784999999999997"/>
    <n v="500.40409453271923"/>
    <n v="96.399584532719189"/>
  </r>
  <r>
    <n v="1"/>
    <n v="5.33"/>
    <n v="49.344999999999999"/>
    <m/>
    <n v="49.7062521588946"/>
    <n v="382.06464215889457"/>
    <n v="431.4096421588946"/>
    <n v="3.0773924999999998"/>
    <n v="477.20148510593657"/>
    <m/>
    <x v="0"/>
    <n v="1"/>
    <n v="49.344999999999999"/>
    <n v="431.4096421588946"/>
    <n v="99.051252158894599"/>
  </r>
  <r>
    <n v="1"/>
    <n v="5.27"/>
    <n v="56.602599999999995"/>
    <m/>
    <n v="24.8531260794473"/>
    <n v="347.26066607944722"/>
    <n v="403.86326607944721"/>
    <n v="2.9852549999999995"/>
    <n v="462.91401549198639"/>
    <m/>
    <x v="0"/>
    <n v="1"/>
    <n v="56.602599999999995"/>
    <n v="403.86326607944721"/>
    <n v="81.455726079447288"/>
  </r>
  <r>
    <n v="2"/>
    <n v="8.32"/>
    <n v="91.893600000000006"/>
    <m/>
    <n v="162.848859731174"/>
    <n v="624.56829973117408"/>
    <n v="716.46189973117407"/>
    <n v="4.2751800000000006"/>
    <n v="681.5850742064398"/>
    <m/>
    <x v="0"/>
    <n v="1"/>
    <n v="91.893600000000006"/>
    <n v="716.46189973117407"/>
    <n v="254.74245973117399"/>
  </r>
  <r>
    <n v="2"/>
    <n v="8.2899999999999991"/>
    <n v="87.235399999999998"/>
    <m/>
    <n v="137.99573365172682"/>
    <n v="598.3883936517268"/>
    <n v="685.62379365172683"/>
    <n v="4.2628949999999994"/>
    <n v="679.6264964069959"/>
    <m/>
    <x v="0"/>
    <n v="1"/>
    <n v="87.235399999999998"/>
    <n v="685.62379365172683"/>
    <n v="225.23113365172682"/>
  </r>
  <r>
    <n v="2"/>
    <n v="12.129999999999999"/>
    <n v="387.01299999999992"/>
    <n v="288.70499999999998"/>
    <m/>
    <n v="1038.3356999999999"/>
    <n v="1425.3486999999998"/>
    <n v="6.9410249999999989"/>
    <n v="988.8589003054318"/>
    <m/>
    <x v="0"/>
    <n v="1"/>
    <n v="387.01299999999992"/>
    <n v="1425.3486999999998"/>
    <n v="675.71799999999985"/>
  </r>
  <r>
    <n v="2"/>
    <n v="11.99"/>
    <n v="181.03"/>
    <n v="303.89999999999998"/>
    <m/>
    <n v="1043.5798500000001"/>
    <n v="1224.6098500000001"/>
    <n v="6.8488875"/>
    <n v="975.73245472615622"/>
    <m/>
    <x v="0"/>
    <n v="1"/>
    <n v="181.03"/>
    <n v="1224.6098500000001"/>
    <n v="484.92999999999995"/>
  </r>
  <r>
    <n v="3"/>
    <n v="24.41"/>
    <n v="183.67500000000001"/>
    <n v="0"/>
    <m/>
    <n v="1555.6495499999999"/>
    <n v="1739.3245499999998"/>
    <n v="14.404162499999998"/>
    <n v="2323.3809682495539"/>
    <m/>
    <x v="0"/>
    <n v="1"/>
    <n v="183.67500000000001"/>
    <n v="1739.3245499999998"/>
    <n v="183.67500000000001"/>
  </r>
  <r>
    <n v="3"/>
    <n v="9.56"/>
    <n v="57.265000000000001"/>
    <n v="0"/>
    <m/>
    <n v="504.83978999999994"/>
    <n v="562.10478999999998"/>
    <n v="4.6744424999999996"/>
    <n v="753.98418628482329"/>
    <m/>
    <x v="0"/>
    <n v="1"/>
    <n v="57.265000000000001"/>
    <n v="562.10478999999998"/>
    <n v="57.265000000000001"/>
  </r>
  <r>
    <n v="2"/>
    <n v="17.510000000000002"/>
    <n v="155.68989999999999"/>
    <n v="0"/>
    <m/>
    <n v="1120.4657099999999"/>
    <n v="1276.15561"/>
    <n v="10.3746825"/>
    <n v="1720.6519414538557"/>
    <m/>
    <x v="0"/>
    <n v="1"/>
    <n v="155.68989999999999"/>
    <n v="1276.15561"/>
    <n v="155.68989999999999"/>
  </r>
  <r>
    <n v="1"/>
    <n v="18.37"/>
    <n v="276.76160000000004"/>
    <n v="201.62275000000002"/>
    <m/>
    <n v="1379.80339"/>
    <n v="1656.5649900000001"/>
    <n v="10.909079999999999"/>
    <n v="1571.9317969059055"/>
    <m/>
    <x v="0"/>
    <n v="1"/>
    <n v="276.76160000000004"/>
    <n v="1656.5649900000001"/>
    <n v="478.38435000000004"/>
  </r>
  <r>
    <n v="5"/>
    <n v="25.69"/>
    <n v="171.6704"/>
    <n v="406.53729999999996"/>
    <m/>
    <n v="2077.6167100000002"/>
    <n v="2249.2871100000002"/>
    <n v="15.4729575"/>
    <n v="2229.5586691475091"/>
    <m/>
    <x v="3"/>
    <n v="1"/>
    <n v="171.6704"/>
    <n v="2249.2871100000002"/>
    <n v="578.20769999999993"/>
  </r>
  <r>
    <n v="6"/>
    <n v="31.049999999999997"/>
    <n v="194.88749999999999"/>
    <n v="483.07165000000009"/>
    <m/>
    <n v="2503.0941999999995"/>
    <n v="2697.9816999999994"/>
    <n v="18.703912499999998"/>
    <n v="2695.1195504383345"/>
    <m/>
    <x v="3"/>
    <n v="1"/>
    <n v="194.88749999999999"/>
    <n v="2697.9816999999994"/>
    <n v="677.95915000000014"/>
  </r>
  <r>
    <n v="3"/>
    <n v="11.899999999999999"/>
    <n v="151.49679999999998"/>
    <n v="240.3014"/>
    <m/>
    <n v="1001.87312"/>
    <n v="1153.3699199999999"/>
    <n v="7.0515899999999991"/>
    <n v="1016.0910489008893"/>
    <m/>
    <x v="3"/>
    <n v="1"/>
    <n v="151.49679999999998"/>
    <n v="1153.3699199999999"/>
    <n v="391.79819999999995"/>
  </r>
  <r>
    <n v="6"/>
    <n v="23.79"/>
    <n v="293.71500000000003"/>
    <n v="478.13395000000003"/>
    <m/>
    <n v="2002.6041700000001"/>
    <n v="2296.3191700000002"/>
    <n v="14.115464999999999"/>
    <n v="2033.9522912667628"/>
    <m/>
    <x v="3"/>
    <n v="1"/>
    <n v="293.71500000000003"/>
    <n v="2296.3191700000002"/>
    <n v="771.84895000000006"/>
  </r>
  <r>
    <n v="6"/>
    <n v="29.450000000000003"/>
    <n v="364.55999999999995"/>
    <n v="1510.9361999999999"/>
    <m/>
    <n v="3325.9712399999999"/>
    <n v="3690.5312399999998"/>
    <n v="16.805880000000002"/>
    <n v="2421.6246600982872"/>
    <m/>
    <x v="3"/>
    <n v="1"/>
    <n v="364.55999999999995"/>
    <n v="3690.5312399999998"/>
    <n v="1875.4961999999998"/>
  </r>
  <r>
    <n v="3"/>
    <n v="15.82"/>
    <n v="175.52280000000002"/>
    <n v="195.8621"/>
    <m/>
    <n v="1229.42372"/>
    <n v="1404.94652"/>
    <n v="9.5700149999999997"/>
    <n v="1378.9807092226356"/>
    <m/>
    <x v="8"/>
    <n v="1"/>
    <n v="175.52280000000002"/>
    <n v="1404.94652"/>
    <n v="371.38490000000002"/>
  </r>
  <r>
    <n v="6"/>
    <n v="31.93"/>
    <n v="339.64750000000004"/>
    <n v="389.25535000000002"/>
    <m/>
    <n v="2475.6169"/>
    <n v="2815.2644"/>
    <n v="19.3181625"/>
    <n v="2783.6292236875411"/>
    <m/>
    <x v="8"/>
    <n v="1"/>
    <n v="339.64750000000004"/>
    <n v="2815.2644"/>
    <n v="728.90285000000006"/>
  </r>
  <r>
    <n v="6"/>
    <n v="22.749999999999996"/>
    <n v="692.70999999999992"/>
    <n v="436.98644999999999"/>
    <m/>
    <n v="1755.8057699999995"/>
    <n v="2448.5157699999995"/>
    <n v="12.211289999999996"/>
    <n v="1759.5723041942226"/>
    <m/>
    <x v="3"/>
    <n v="1"/>
    <n v="692.70999999999992"/>
    <n v="2448.5157699999995"/>
    <n v="1129.6964499999999"/>
  </r>
  <r>
    <n v="6"/>
    <n v="30.760000000000005"/>
    <n v="553.78250000000003"/>
    <n v="583.47154999999998"/>
    <m/>
    <n v="2498.6784800000005"/>
    <n v="3052.4609800000007"/>
    <n v="17.733397500000002"/>
    <n v="2555.2742667045891"/>
    <m/>
    <x v="8"/>
    <n v="1"/>
    <n v="553.78250000000003"/>
    <n v="3052.4609800000007"/>
    <n v="1137.25405"/>
  </r>
  <r>
    <n v="1"/>
    <n v="7.75"/>
    <n v="73.87"/>
    <n v="23.042600000000004"/>
    <m/>
    <n v="476.13796999999994"/>
    <n v="550.00796999999989"/>
    <n v="4.1953274999999994"/>
    <n v="604.52106829207958"/>
    <m/>
    <x v="0"/>
    <n v="1"/>
    <n v="73.87"/>
    <n v="550.00796999999989"/>
    <n v="96.912600000000012"/>
  </r>
  <r>
    <n v="6"/>
    <n v="46.8"/>
    <n v="472.88"/>
    <n v="785.91724999999997"/>
    <m/>
    <n v="3700.1895199999994"/>
    <n v="4173.0695199999991"/>
    <n v="26.984002499999995"/>
    <n v="3888.2299458376365"/>
    <m/>
    <x v="0"/>
    <n v="1"/>
    <n v="472.88"/>
    <n v="4173.0695199999991"/>
    <n v="1258.7972500000001"/>
  </r>
  <r>
    <n v="3"/>
    <n v="33.119999999999997"/>
    <n v="376.71"/>
    <n v="294.61609999999996"/>
    <m/>
    <n v="2340.5108599999994"/>
    <n v="2717.2208599999994"/>
    <n v="18.943469999999998"/>
    <n v="2729.6383230055249"/>
    <m/>
    <x v="3"/>
    <n v="1"/>
    <n v="376.71"/>
    <n v="2717.2208599999994"/>
    <n v="671.3261"/>
  </r>
  <r>
    <n v="6"/>
    <n v="10.620000000000001"/>
    <n v="186.67500000000004"/>
    <n v="288.03250000000003"/>
    <m/>
    <n v="952.74928000000011"/>
    <n v="1139.4242800000002"/>
    <n v="6.1547850000000004"/>
    <n v="886.86692595704812"/>
    <m/>
    <x v="3"/>
    <n v="1"/>
    <n v="186.67500000000004"/>
    <n v="1139.4242800000002"/>
    <n v="474.7075000000001"/>
  </r>
  <r>
    <n v="3"/>
    <n v="27.689999999999998"/>
    <n v="242.79629999999995"/>
    <n v="243.5932"/>
    <m/>
    <n v="1996.9329699999994"/>
    <n v="2239.7292699999994"/>
    <n v="16.234627499999995"/>
    <n v="2339.3106639765242"/>
    <m/>
    <x v="0"/>
    <n v="1"/>
    <n v="242.79629999999995"/>
    <n v="2239.7292699999994"/>
    <n v="486.38949999999994"/>
  </r>
  <r>
    <n v="6"/>
    <n v="53.5"/>
    <n v="448.87999999999994"/>
    <n v="490.47820000000002"/>
    <m/>
    <n v="3872.4404199999994"/>
    <n v="4321.3204199999991"/>
    <n v="31.314464999999995"/>
    <n v="4512.2231422445411"/>
    <m/>
    <x v="0"/>
    <n v="1"/>
    <n v="448.87999999999994"/>
    <n v="4321.3204199999991"/>
    <n v="939.3581999999999"/>
  </r>
  <r>
    <n v="3"/>
    <n v="23.63"/>
    <n v="237.66750000000002"/>
    <n v="1231.1332"/>
    <m/>
    <n v="2691.2545899999996"/>
    <n v="2928.9220899999996"/>
    <n v="13.519642499999998"/>
    <n v="1948.0979082150325"/>
    <m/>
    <x v="3"/>
    <n v="1"/>
    <n v="237.66750000000002"/>
    <n v="2928.9220899999996"/>
    <n v="1468.8007"/>
  </r>
  <r>
    <n v="1"/>
    <n v="4.82"/>
    <n v="51.234500000000004"/>
    <n v="36.209800000000001"/>
    <m/>
    <n v="331.41835000000003"/>
    <n v="382.65285000000006"/>
    <n v="2.7334125"/>
    <n v="392.73192902105063"/>
    <m/>
    <x v="0"/>
    <n v="1"/>
    <n v="51.234500000000004"/>
    <n v="382.65285000000006"/>
    <n v="87.444299999999998"/>
  </r>
  <r>
    <n v="1"/>
    <n v="4.8499999999999996"/>
    <n v="51.54679999999999"/>
    <n v="36.209800000000001"/>
    <m/>
    <n v="333.40851999999995"/>
    <n v="384.95531999999992"/>
    <n v="2.7518399999999996"/>
    <n v="395.37956000321503"/>
    <m/>
    <x v="0"/>
    <n v="1"/>
    <n v="51.54679999999999"/>
    <n v="384.95531999999992"/>
    <n v="87.756599999999992"/>
  </r>
  <r>
    <n v="4"/>
    <n v="19.349999999999998"/>
    <n v="172.5667"/>
    <n v="184.34080000000003"/>
    <m/>
    <n v="1369.81873"/>
    <n v="1542.38543"/>
    <n v="10.9766475"/>
    <n v="1577.105521709253"/>
    <m/>
    <x v="0"/>
    <n v="1"/>
    <n v="172.5667"/>
    <n v="1542.38543"/>
    <n v="356.90750000000003"/>
  </r>
  <r>
    <n v="8"/>
    <n v="38.81"/>
    <n v="331.36000000000013"/>
    <n v="367.85865000000007"/>
    <m/>
    <n v="2746.1118000000006"/>
    <n v="3077.4718000000007"/>
    <n v="22.020862500000003"/>
    <n v="3163.9190236864429"/>
    <m/>
    <x v="0"/>
    <n v="1"/>
    <n v="331.36000000000013"/>
    <n v="3077.4718000000007"/>
    <n v="699.21865000000025"/>
  </r>
  <r>
    <n v="4"/>
    <n v="20.14"/>
    <n v="202.20340000000004"/>
    <n v="127.55724999999998"/>
    <m/>
    <n v="1370.7501100000002"/>
    <n v="1572.9535100000003"/>
    <n v="11.511045000000001"/>
    <n v="1653.8868201920202"/>
    <m/>
    <x v="0"/>
    <n v="1"/>
    <n v="202.20340000000004"/>
    <n v="1572.9535100000003"/>
    <n v="329.76065000000006"/>
  </r>
  <r>
    <n v="8"/>
    <n v="39.29"/>
    <n v="381.12"/>
    <n v="241.12434999999994"/>
    <m/>
    <n v="2661.83446"/>
    <n v="3042.9544599999999"/>
    <n v="22.413982499999999"/>
    <n v="3220.4018179726154"/>
    <m/>
    <x v="0"/>
    <n v="1"/>
    <n v="381.12"/>
    <n v="3042.9544599999999"/>
    <n v="622.24434999999994"/>
  </r>
  <r>
    <n v="4"/>
    <n v="18.310000000000002"/>
    <n v="161.51670000000004"/>
    <n v="158.00639999999999"/>
    <m/>
    <n v="1277.1453300000003"/>
    <n v="1438.6620300000004"/>
    <n v="10.362397500000002"/>
    <n v="1488.8511556371072"/>
    <m/>
    <x v="0"/>
    <n v="1"/>
    <n v="161.51670000000004"/>
    <n v="1438.6620300000004"/>
    <n v="319.5231"/>
  </r>
  <r>
    <n v="4"/>
    <n v="18.189999999999998"/>
    <n v="153.63999999999999"/>
    <n v="159.6523"/>
    <m/>
    <n v="1270.8305499999999"/>
    <n v="1424.47055"/>
    <n v="10.2886875"/>
    <n v="1478.2606317084492"/>
    <m/>
    <x v="0"/>
    <n v="1"/>
    <n v="153.63999999999999"/>
    <n v="1424.47055"/>
    <n v="313.29229999999995"/>
  </r>
  <r>
    <n v="4"/>
    <n v="30.319999999999997"/>
    <n v="297.084"/>
    <n v="546.43880000000001"/>
    <m/>
    <n v="2430.4663999999998"/>
    <n v="2727.5503999999996"/>
    <n v="17.444699999999997"/>
    <n v="2506.4239964489525"/>
    <m/>
    <x v="0"/>
    <n v="1"/>
    <n v="297.084"/>
    <n v="2727.5503999999996"/>
    <n v="843.52279999999996"/>
  </r>
  <r>
    <n v="4"/>
    <n v="17.57"/>
    <n v="149.88"/>
    <n v="80.649100000000004"/>
    <m/>
    <n v="1160.6480200000001"/>
    <n v="1310.5280200000002"/>
    <n v="9.9999900000000004"/>
    <n v="1436.7810796545405"/>
    <m/>
    <x v="0"/>
    <n v="1"/>
    <n v="149.88"/>
    <n v="1310.5280200000002"/>
    <n v="230.5291"/>
  </r>
  <r>
    <n v="8"/>
    <n v="11.68"/>
    <n v="146.15039999999999"/>
    <n v="167.8818"/>
    <m/>
    <n v="926.79995999999994"/>
    <n v="1072.9503599999998"/>
    <n v="7.0270199999999994"/>
    <n v="1009.6299478653527"/>
    <m/>
    <x v="3"/>
    <n v="1"/>
    <n v="146.15039999999999"/>
    <n v="1072.9503599999998"/>
    <n v="314.03219999999999"/>
  </r>
  <r>
    <n v="8"/>
    <n v="11.49"/>
    <n v="139.98750000000001"/>
    <n v="171.17360000000002"/>
    <m/>
    <n v="917.48735000000011"/>
    <n v="1057.4748500000001"/>
    <n v="6.9103124999999999"/>
    <n v="992.86161831164497"/>
    <m/>
    <x v="3"/>
    <n v="1"/>
    <n v="139.98750000000001"/>
    <n v="1057.4748500000001"/>
    <n v="311.16110000000003"/>
  </r>
  <r>
    <n v="2"/>
    <n v="9.879999999999999"/>
    <n v="55.9512"/>
    <n v="55.960600000000007"/>
    <m/>
    <n v="707.40957999999989"/>
    <n v="763.36077999999986"/>
    <n v="6.0319349999999989"/>
    <n v="866.65787482847577"/>
    <m/>
    <x v="3"/>
    <n v="1"/>
    <n v="55.9512"/>
    <n v="763.36077999999986"/>
    <n v="111.9118"/>
  </r>
  <r>
    <n v="4"/>
    <n v="19.77"/>
    <n v="103.85"/>
    <n v="112.74415"/>
    <m/>
    <n v="1415.64211"/>
    <n v="1519.4921099999999"/>
    <n v="12.06387"/>
    <n v="1733.3157496569518"/>
    <m/>
    <x v="3"/>
    <n v="1"/>
    <n v="103.85"/>
    <n v="1519.4921099999999"/>
    <n v="216.59415000000001"/>
  </r>
  <r>
    <n v="3"/>
    <n v="15.129999999999999"/>
    <n v="85.526399999999995"/>
    <n v="82.295000000000002"/>
    <m/>
    <n v="1080.0335599999999"/>
    <n v="1165.5599599999998"/>
    <n v="9.2383199999999981"/>
    <n v="1327.345665725079"/>
    <m/>
    <x v="3"/>
    <n v="1"/>
    <n v="85.526399999999995"/>
    <n v="1165.5599599999998"/>
    <n v="167.82139999999998"/>
  </r>
  <r>
    <n v="3"/>
    <n v="14.940000000000001"/>
    <n v="78.362500000000011"/>
    <n v="86.409749999999988"/>
    <m/>
    <n v="1070.21712"/>
    <n v="1148.57962"/>
    <n v="9.1093275000000009"/>
    <n v="1308.8122488499287"/>
    <m/>
    <x v="3"/>
    <n v="1"/>
    <n v="78.362500000000011"/>
    <n v="1148.57962"/>
    <n v="164.77224999999999"/>
  </r>
  <r>
    <n v="2"/>
    <n v="12.03"/>
    <n v="74.021999999999991"/>
    <n v="57.606499999999997"/>
    <m/>
    <n v="850.35754999999983"/>
    <n v="924.37954999999988"/>
    <n v="7.3402874999999987"/>
    <n v="1054.6396745621473"/>
    <m/>
    <x v="3"/>
    <n v="1"/>
    <n v="74.021999999999991"/>
    <n v="924.37954999999988"/>
    <n v="131.62849999999997"/>
  </r>
  <r>
    <n v="4"/>
    <n v="24.46"/>
    <n v="140.14500000000001"/>
    <n v="115.21299999999999"/>
    <m/>
    <n v="1727.2507000000001"/>
    <n v="1867.3957"/>
    <n v="14.926275"/>
    <n v="2144.5810955531533"/>
    <m/>
    <x v="3"/>
    <n v="1"/>
    <n v="140.14500000000001"/>
    <n v="1867.3957"/>
    <n v="255.358"/>
  </r>
  <r>
    <n v="2"/>
    <n v="26.52"/>
    <n v="238.31320000000002"/>
    <n v="118.5048"/>
    <m/>
    <n v="1745.1370799999997"/>
    <n v="1983.4502799999998"/>
    <n v="15.061409999999999"/>
    <n v="2163.9970560890251"/>
    <m/>
    <x v="0"/>
    <n v="1"/>
    <n v="238.31320000000002"/>
    <n v="1983.4502799999998"/>
    <n v="356.81800000000004"/>
  </r>
  <r>
    <n v="4"/>
    <n v="52.070000000000007"/>
    <n v="448.7600000000001"/>
    <n v="238.65549999999996"/>
    <m/>
    <n v="3427.5712300000005"/>
    <n v="3876.3312300000007"/>
    <n v="29.526997500000004"/>
    <n v="4242.3873770880691"/>
    <m/>
    <x v="0"/>
    <n v="1"/>
    <n v="448.7600000000001"/>
    <n v="3876.3312300000007"/>
    <n v="687.41550000000007"/>
  </r>
  <r>
    <n v="2"/>
    <n v="10.42"/>
    <n v="93.201100000000011"/>
    <n v="72.419600000000003"/>
    <m/>
    <n v="716.57129000000009"/>
    <n v="809.77239000000009"/>
    <n v="5.9643674999999998"/>
    <n v="250.97616797602933"/>
    <m/>
    <x v="0"/>
    <n v="1"/>
    <n v="93.201100000000011"/>
    <n v="809.77239000000009"/>
    <n v="165.6207"/>
  </r>
  <r>
    <n v="6"/>
    <n v="31.299999999999997"/>
    <n v="268.22000000000003"/>
    <n v="210.67520000000002"/>
    <m/>
    <n v="2147.7739999999999"/>
    <n v="2415.9939999999997"/>
    <n v="17.9361"/>
    <n v="754.73780688981003"/>
    <m/>
    <x v="0"/>
    <n v="1"/>
    <n v="268.22000000000003"/>
    <n v="2415.9939999999997"/>
    <n v="478.89520000000005"/>
  </r>
  <r>
    <n v="4"/>
    <n v="18.009999999999998"/>
    <n v="159.75059999999999"/>
    <n v="82.295000000000002"/>
    <m/>
    <n v="1187.5027399999999"/>
    <n v="1347.25334"/>
    <n v="10.233404999999999"/>
    <n v="430.61410488987104"/>
    <m/>
    <x v="0"/>
    <n v="1"/>
    <n v="159.75059999999999"/>
    <n v="1347.25334"/>
    <n v="242.04559999999998"/>
  </r>
  <r>
    <n v="4"/>
    <n v="17.989999999999998"/>
    <n v="152.83999999999997"/>
    <n v="80.649100000000004"/>
    <m/>
    <n v="1185.19345"/>
    <n v="1338.0334499999999"/>
    <n v="10.227262499999998"/>
    <n v="430.35563303819646"/>
    <m/>
    <x v="0"/>
    <n v="1"/>
    <n v="152.83999999999997"/>
    <n v="1338.0334499999999"/>
    <n v="233.48909999999998"/>
  </r>
  <r>
    <n v="4"/>
    <n v="17.68"/>
    <n v="157.39580000000001"/>
    <n v="80.649100000000004"/>
    <m/>
    <n v="1167.2819199999999"/>
    <n v="1324.6777199999999"/>
    <n v="10.061414999999998"/>
    <n v="423.37689304298243"/>
    <m/>
    <x v="0"/>
    <n v="1"/>
    <n v="157.39580000000001"/>
    <n v="1324.6777199999999"/>
    <n v="238.04490000000001"/>
  </r>
  <r>
    <n v="4"/>
    <n v="17.57"/>
    <n v="149.79999999999998"/>
    <n v="80.649100000000004"/>
    <m/>
    <n v="1159.9846299999999"/>
    <n v="1309.7846299999999"/>
    <n v="9.9938474999999993"/>
    <n v="420.53370267456194"/>
    <m/>
    <x v="0"/>
    <n v="1"/>
    <n v="149.79999999999998"/>
    <n v="1309.7846299999999"/>
    <n v="230.44909999999999"/>
  </r>
  <r>
    <n v="4"/>
    <n v="10.169999999999998"/>
    <n v="326.95749999999998"/>
    <n v="39.501599999999996"/>
    <m/>
    <n v="629.25530999999978"/>
    <n v="956.21280999999976"/>
    <n v="5.460682499999999"/>
    <n v="784.58131438137968"/>
    <m/>
    <x v="3"/>
    <n v="1"/>
    <n v="326.95749999999998"/>
    <n v="956.21280999999976"/>
    <n v="366.45909999999998"/>
  </r>
  <r>
    <n v="3"/>
    <n v="42.22"/>
    <n v="465.60500000000002"/>
    <n v="875.61880000000008"/>
    <m/>
    <n v="3338.7858699999997"/>
    <n v="3804.3908699999997"/>
    <n v="22.807102499999996"/>
    <n v="3455.9240515395359"/>
    <m/>
    <x v="0"/>
    <n v="1"/>
    <n v="465.60500000000002"/>
    <n v="3804.3908699999997"/>
    <n v="1341.2238000000002"/>
  </r>
  <r>
    <n v="3"/>
    <n v="14.739999999999998"/>
    <n v="156.01369999999997"/>
    <n v="174.46540000000002"/>
    <m/>
    <n v="1074.6856299999997"/>
    <n v="1230.6993299999997"/>
    <n v="8.3353724999999983"/>
    <n v="1263.0457683649743"/>
    <m/>
    <x v="0"/>
    <n v="1"/>
    <n v="156.01369999999997"/>
    <n v="1230.6993299999997"/>
    <n v="330.4791000000000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1E001A-44FB-467D-9553-BAE04833C9D0}" name="PivotTable1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6" indent="0" outline="1" outlineData="1" multipleFieldFilters="0" rowHeaderCaption="NO BOX">
  <location ref="A10:H21" firstHeaderRow="0" firstDataRow="1" firstDataCol="1"/>
  <pivotFields count="20">
    <pivotField showAll="0"/>
    <pivotField showAll="0"/>
    <pivotField showAll="0"/>
    <pivotField showAll="0"/>
    <pivotField dataField="1" showAll="0"/>
    <pivotField dataField="1" numFmtId="2" showAll="0"/>
    <pivotField dataField="1" numFmtId="2" showAll="0"/>
    <pivotField showAll="0"/>
    <pivotField showAll="0"/>
    <pivotField numFmtId="2" showAll="0"/>
    <pivotField dataField="1" numFmtId="2" showAll="0"/>
    <pivotField showAll="0"/>
    <pivotField dataField="1" numFmtId="2" showAll="0"/>
    <pivotField showAll="0"/>
    <pivotField axis="axisRow" showAll="0" sortType="ascending">
      <items count="11">
        <item x="0"/>
        <item x="3"/>
        <item x="8"/>
        <item x="1"/>
        <item x="2"/>
        <item x="4"/>
        <item x="5"/>
        <item x="6"/>
        <item x="7"/>
        <item m="1" x="9"/>
        <item t="default"/>
      </items>
    </pivotField>
    <pivotField axis="axisRow" showAll="0" sortType="ascending">
      <items count="3">
        <item x="0"/>
        <item m="1" x="1"/>
        <item t="default"/>
      </items>
    </pivotField>
    <pivotField numFmtId="2" showAll="0"/>
    <pivotField numFmtId="2" showAll="0"/>
    <pivotField dataField="1" numFmtId="2" showAll="0"/>
    <pivotField dataField="1" numFmtId="2" showAll="0"/>
  </pivotFields>
  <rowFields count="2">
    <field x="15"/>
    <field x="14"/>
  </rowFields>
  <rowItems count="11">
    <i>
      <x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t="grand">
      <x/>
    </i>
  </rowItems>
  <colFields count="1">
    <field x="-2"/>
  </colFields>
  <colItems count="7">
    <i>
      <x/>
    </i>
    <i i="1">
      <x v="1"/>
    </i>
    <i i="2">
      <x v="2"/>
    </i>
    <i i="3">
      <x v="3"/>
    </i>
    <i i="4">
      <x v="4"/>
    </i>
    <i i="5">
      <x v="5"/>
    </i>
    <i i="6">
      <x v="6"/>
    </i>
  </colItems>
  <dataFields count="7">
    <dataField name="QTY" fld="4" baseField="0" baseItem="0"/>
    <dataField name="Sum of Total" fld="10" baseField="0" baseItem="0" numFmtId="2"/>
    <dataField name="Sum of Manufacturing" fld="6" baseField="0" baseItem="0"/>
    <dataField name="Sum of Indonesian Customs" fld="19" baseField="0" baseItem="0" numFmtId="2"/>
    <dataField name="Sum of Dia Value" fld="18" baseField="0" baseItem="0" numFmtId="2"/>
    <dataField name="Sum of Gold Value for US" fld="12" baseField="0" baseItem="0" numFmtId="2"/>
    <dataField name="Sum of Total w't" fld="5" baseField="0" baseItem="0" numFmtId="2"/>
  </dataFields>
  <formats count="21">
    <format dxfId="22">
      <pivotArea type="all" dataOnly="0" outline="0" fieldPosition="0"/>
    </format>
    <format dxfId="21">
      <pivotArea outline="0" collapsedLevelsAreSubtotals="1" fieldPosition="0"/>
    </format>
    <format dxfId="20">
      <pivotArea dataOnly="0" labelOnly="1" grandRow="1" outline="0" fieldPosition="0"/>
    </format>
    <format dxfId="19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8">
      <pivotArea field="15" type="button" dataOnly="0" labelOnly="1" outline="0" axis="axisRow" fieldPosition="0"/>
    </format>
    <format dxfId="1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6">
      <pivotArea outline="0" collapsedLevelsAreSubtotals="1" fieldPosition="0"/>
    </format>
    <format dxfId="15">
      <pivotArea dataOnly="0" labelOnly="1" fieldPosition="0">
        <references count="1">
          <reference field="15" count="0"/>
        </references>
      </pivotArea>
    </format>
    <format dxfId="14">
      <pivotArea dataOnly="0" labelOnly="1" grandRow="1" outline="0" fieldPosition="0"/>
    </format>
    <format dxfId="13">
      <pivotArea dataOnly="0" labelOnly="1" fieldPosition="0">
        <references count="1">
          <reference field="14" count="0"/>
        </references>
      </pivotArea>
    </format>
    <format dxfId="12">
      <pivotArea grandRow="1" outline="0" collapsedLevelsAreSubtotals="1" fieldPosition="0"/>
    </format>
    <format dxfId="11">
      <pivotArea dataOnly="0" labelOnly="1" grandRow="1" outline="0" fieldPosition="0"/>
    </format>
    <format dxfId="10">
      <pivotArea grandRow="1" outline="0" collapsedLevelsAreSubtotals="1" fieldPosition="0"/>
    </format>
    <format dxfId="9">
      <pivotArea dataOnly="0" labelOnly="1" grandRow="1" outline="0" fieldPosition="0"/>
    </format>
    <format dxfId="8">
      <pivotArea grandRow="1" outline="0" collapsedLevelsAreSubtotals="1" fieldPosition="0"/>
    </format>
    <format dxfId="7">
      <pivotArea dataOnly="0" labelOnly="1" grandRow="1" outline="0" fieldPosition="0"/>
    </format>
    <format dxfId="6">
      <pivotArea collapsedLevelsAreSubtotals="1" fieldPosition="0">
        <references count="2">
          <reference field="14" count="0"/>
          <reference field="15" count="0" selected="0"/>
        </references>
      </pivotArea>
    </format>
    <format dxfId="5">
      <pivotArea dataOnly="0" labelOnly="1" fieldPosition="0">
        <references count="2">
          <reference field="14" count="0"/>
          <reference field="15" count="0" selected="0"/>
        </references>
      </pivotArea>
    </format>
    <format dxfId="4">
      <pivotArea field="15" type="button" dataOnly="0" labelOnly="1" outline="0" axis="axisRow" fieldPosition="0"/>
    </format>
    <format dxfId="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">
      <pivotArea outline="0" collapsedLevelsAreSubtotals="1" fieldPosition="0">
        <references count="1">
          <reference field="4294967294" count="5" selected="0">
            <x v="1"/>
            <x v="3"/>
            <x v="4"/>
            <x v="5"/>
            <x v="6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7E6A709-F616-4EFE-B533-1883E54E5697}" name="PivotTable1" cacheId="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C4:G14" firstHeaderRow="0" firstDataRow="1" firstDataCol="1"/>
  <pivotFields count="15">
    <pivotField dataField="1" showAll="0"/>
    <pivotField dataField="1" numFmtId="2" showAll="0"/>
    <pivotField numFmtId="2" showAll="0"/>
    <pivotField showAll="0"/>
    <pivotField showAll="0"/>
    <pivotField numFmtId="2" showAll="0"/>
    <pivotField numFmtId="2" showAll="0"/>
    <pivotField numFmtId="2" showAll="0"/>
    <pivotField dataField="1" numFmtId="2" showAll="0"/>
    <pivotField showAll="0"/>
    <pivotField axis="axisRow" showAll="0">
      <items count="10">
        <item x="0"/>
        <item x="3"/>
        <item x="8"/>
        <item x="1"/>
        <item x="2"/>
        <item x="4"/>
        <item x="5"/>
        <item x="6"/>
        <item x="7"/>
        <item t="default"/>
      </items>
    </pivotField>
    <pivotField showAll="0"/>
    <pivotField numFmtId="2" showAll="0"/>
    <pivotField numFmtId="2" showAll="0"/>
    <pivotField dataField="1" numFmtId="2" showAll="0"/>
  </pivotFields>
  <rowFields count="1">
    <field x="10"/>
  </rowFields>
  <row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Sum of Q'ty" fld="0" baseField="0" baseItem="0"/>
    <dataField name="Sum of Gold Value for US" fld="8" baseField="0" baseItem="0" numFmtId="2"/>
    <dataField name="Sum of Dia Value" fld="14" baseField="0" baseItem="0" numFmtId="2"/>
    <dataField name="Sum of Total w't" fld="1" baseField="0" baseItem="0"/>
  </dataFields>
  <formats count="2">
    <format dxfId="1">
      <pivotArea outline="0" collapsedLevelsAreSubtotals="1" fieldPosition="0">
        <references count="1">
          <reference field="4294967294" count="2" selected="0">
            <x v="1"/>
            <x v="2"/>
          </reference>
        </references>
      </pivotArea>
    </format>
    <format dxfId="0">
      <pivotArea collapsedLevelsAreSubtotals="1" fieldPosition="0">
        <references count="2">
          <reference field="4294967294" count="1" selected="0">
            <x v="1"/>
          </reference>
          <reference field="10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739"/>
  <sheetViews>
    <sheetView tabSelected="1" zoomScaleNormal="10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A4" sqref="A4"/>
    </sheetView>
  </sheetViews>
  <sheetFormatPr defaultColWidth="8.7265625" defaultRowHeight="14.5" x14ac:dyDescent="0.35"/>
  <cols>
    <col min="1" max="1" width="29.36328125" style="1" customWidth="1"/>
    <col min="2" max="2" width="22.36328125" style="1" customWidth="1"/>
    <col min="3" max="3" width="22.7265625" style="1" customWidth="1"/>
    <col min="4" max="4" width="13.7265625" style="1" customWidth="1"/>
    <col min="5" max="5" width="9.453125" style="1" bestFit="1" customWidth="1"/>
    <col min="6" max="6" width="10.36328125" style="1" customWidth="1"/>
    <col min="7" max="7" width="13.81640625" style="1" customWidth="1"/>
    <col min="8" max="8" width="12.81640625" style="1" customWidth="1"/>
    <col min="9" max="10" width="12.1796875" style="1" customWidth="1"/>
    <col min="11" max="11" width="11.1796875" style="1" customWidth="1"/>
    <col min="12" max="12" width="13.26953125" style="1" customWidth="1"/>
    <col min="13" max="13" width="18" style="1" customWidth="1"/>
    <col min="14" max="14" width="19.453125" style="1" bestFit="1" customWidth="1"/>
    <col min="15" max="15" width="23.1796875" style="1" bestFit="1" customWidth="1"/>
    <col min="16" max="16" width="8.7265625" style="1"/>
    <col min="17" max="17" width="12.81640625" style="1" bestFit="1" customWidth="1"/>
    <col min="18" max="18" width="16.1796875" style="1" bestFit="1" customWidth="1"/>
    <col min="19" max="19" width="15.453125" style="3" bestFit="1" customWidth="1"/>
    <col min="20" max="20" width="17.90625" style="3" bestFit="1" customWidth="1"/>
    <col min="21" max="16384" width="8.7265625" style="3"/>
  </cols>
  <sheetData>
    <row r="1" spans="1:20" x14ac:dyDescent="0.35">
      <c r="Q1" s="2"/>
      <c r="R1" s="2"/>
      <c r="S1" s="9"/>
    </row>
    <row r="2" spans="1:20" x14ac:dyDescent="0.35">
      <c r="E2" s="12">
        <f t="shared" ref="E2:M2" si="0">SUBTOTAL(9,E4:E1565)</f>
        <v>0</v>
      </c>
      <c r="F2" s="2">
        <f t="shared" si="0"/>
        <v>0</v>
      </c>
      <c r="G2" s="2">
        <f t="shared" si="0"/>
        <v>0</v>
      </c>
      <c r="H2" s="2">
        <f>SUBTOTAL(9,H4:H1565)</f>
        <v>0</v>
      </c>
      <c r="I2" s="2">
        <f t="shared" si="0"/>
        <v>0</v>
      </c>
      <c r="J2" s="2">
        <f t="shared" si="0"/>
        <v>0</v>
      </c>
      <c r="K2" s="2">
        <f t="shared" si="0"/>
        <v>0</v>
      </c>
      <c r="L2" s="2">
        <f t="shared" si="0"/>
        <v>0</v>
      </c>
      <c r="M2" s="2">
        <f t="shared" si="0"/>
        <v>0</v>
      </c>
      <c r="Q2" s="11" t="e">
        <f>SUBTOTAL(9,Q4:Q1565)</f>
        <v>#DIV/0!</v>
      </c>
      <c r="R2" s="11" t="e">
        <f>SUBTOTAL(9,R4:R1565)</f>
        <v>#DIV/0!</v>
      </c>
      <c r="S2" s="11">
        <f>SUBTOTAL(9,S4:S1565)</f>
        <v>0</v>
      </c>
      <c r="T2" s="11">
        <f>SUBTOTAL(9,T4:T1565)</f>
        <v>0</v>
      </c>
    </row>
    <row r="3" spans="1:20" x14ac:dyDescent="0.35">
      <c r="A3" s="1" t="s">
        <v>6</v>
      </c>
      <c r="B3" s="1" t="s">
        <v>0</v>
      </c>
      <c r="C3" s="1" t="s">
        <v>1</v>
      </c>
      <c r="D3" s="1" t="s">
        <v>2</v>
      </c>
      <c r="E3" s="1" t="s">
        <v>3</v>
      </c>
      <c r="F3" s="2" t="s">
        <v>4</v>
      </c>
      <c r="G3" s="2" t="s">
        <v>164</v>
      </c>
      <c r="H3" s="2" t="s">
        <v>165</v>
      </c>
      <c r="I3" s="2" t="s">
        <v>166</v>
      </c>
      <c r="J3" s="2" t="s">
        <v>175</v>
      </c>
      <c r="K3" s="2" t="s">
        <v>167</v>
      </c>
      <c r="L3" s="2" t="s">
        <v>163</v>
      </c>
      <c r="M3" s="2" t="s">
        <v>24</v>
      </c>
      <c r="N3" s="1" t="s">
        <v>5</v>
      </c>
      <c r="O3" s="1" t="s">
        <v>7</v>
      </c>
      <c r="P3" s="1" t="s">
        <v>10</v>
      </c>
      <c r="Q3" s="1" t="s">
        <v>12</v>
      </c>
      <c r="R3" s="1" t="s">
        <v>13</v>
      </c>
      <c r="S3" s="1" t="s">
        <v>169</v>
      </c>
      <c r="T3" s="3" t="s">
        <v>176</v>
      </c>
    </row>
    <row r="4" spans="1:20" x14ac:dyDescent="0.35">
      <c r="F4" s="2"/>
      <c r="G4" s="2"/>
      <c r="H4" s="2"/>
      <c r="I4" s="2"/>
      <c r="J4" s="2"/>
      <c r="K4" s="2"/>
      <c r="L4" s="2"/>
      <c r="M4" s="2"/>
      <c r="O4" s="1" t="str">
        <f>IF(ISNUMBER(MATCH(MID(C4,8,1),{"B","E","N","P","R"},0)),CONCATENATE(MID(D4,1,3),MID(C4,8,1),N4),"FALSE")</f>
        <v>FALSE</v>
      </c>
      <c r="P4" s="1">
        <v>1</v>
      </c>
      <c r="Q4" s="2" t="e">
        <f t="shared" ref="Q4:Q67" si="1">G4-(G4/$G$2*$Q$1)</f>
        <v>#DIV/0!</v>
      </c>
      <c r="R4" s="2" t="e">
        <f t="shared" ref="R4:R67" si="2">(K4-(G4/$G$2*$R$1))</f>
        <v>#DIV/0!</v>
      </c>
      <c r="S4" s="9">
        <f>H4+I4+G4</f>
        <v>0</v>
      </c>
      <c r="T4" s="9">
        <f>G4+J4</f>
        <v>0</v>
      </c>
    </row>
    <row r="5" spans="1:20" x14ac:dyDescent="0.35">
      <c r="F5" s="2"/>
      <c r="G5" s="2"/>
      <c r="H5" s="2"/>
      <c r="I5" s="2"/>
      <c r="J5" s="2"/>
      <c r="K5" s="2"/>
      <c r="L5" s="2"/>
      <c r="M5" s="2"/>
      <c r="O5" s="1" t="str">
        <f>IF(ISNUMBER(MATCH(MID(C5,8,1),{"B","E","N","P","R"},0)),CONCATENATE(MID(D5,1,3),MID(C5,8,1),N5),"FALSE")</f>
        <v>FALSE</v>
      </c>
      <c r="P5" s="1">
        <v>1</v>
      </c>
      <c r="Q5" s="2" t="e">
        <f t="shared" si="1"/>
        <v>#DIV/0!</v>
      </c>
      <c r="R5" s="2" t="e">
        <f t="shared" si="2"/>
        <v>#DIV/0!</v>
      </c>
      <c r="S5" s="9">
        <f t="shared" ref="S5:S68" si="3">H5+I5+G5</f>
        <v>0</v>
      </c>
      <c r="T5" s="9">
        <f t="shared" ref="T5:T68" si="4">G5+J5</f>
        <v>0</v>
      </c>
    </row>
    <row r="6" spans="1:20" x14ac:dyDescent="0.35">
      <c r="F6" s="2"/>
      <c r="G6" s="2"/>
      <c r="H6" s="2"/>
      <c r="I6" s="2"/>
      <c r="J6" s="2"/>
      <c r="K6" s="2"/>
      <c r="L6" s="2"/>
      <c r="M6" s="2"/>
      <c r="O6" s="1" t="str">
        <f>IF(ISNUMBER(MATCH(MID(C6,8,1),{"B","E","N","P","R"},0)),CONCATENATE(MID(D6,1,3),MID(C6,8,1),N6),"FALSE")</f>
        <v>FALSE</v>
      </c>
      <c r="P6" s="1">
        <v>1</v>
      </c>
      <c r="Q6" s="2" t="e">
        <f t="shared" si="1"/>
        <v>#DIV/0!</v>
      </c>
      <c r="R6" s="2" t="e">
        <f t="shared" si="2"/>
        <v>#DIV/0!</v>
      </c>
      <c r="S6" s="9">
        <f t="shared" si="3"/>
        <v>0</v>
      </c>
      <c r="T6" s="9">
        <f t="shared" si="4"/>
        <v>0</v>
      </c>
    </row>
    <row r="7" spans="1:20" x14ac:dyDescent="0.35">
      <c r="F7" s="2"/>
      <c r="G7" s="2"/>
      <c r="H7" s="2"/>
      <c r="I7" s="2"/>
      <c r="J7" s="2"/>
      <c r="K7" s="2"/>
      <c r="L7" s="2"/>
      <c r="M7" s="2"/>
      <c r="O7" s="1" t="str">
        <f>IF(ISNUMBER(MATCH(MID(C7,8,1),{"B","E","N","P","R"},0)),CONCATENATE(MID(D7,1,3),MID(C7,8,1),N7),"FALSE")</f>
        <v>FALSE</v>
      </c>
      <c r="P7" s="1">
        <v>1</v>
      </c>
      <c r="Q7" s="2" t="e">
        <f t="shared" si="1"/>
        <v>#DIV/0!</v>
      </c>
      <c r="R7" s="2" t="e">
        <f t="shared" si="2"/>
        <v>#DIV/0!</v>
      </c>
      <c r="S7" s="9">
        <f t="shared" si="3"/>
        <v>0</v>
      </c>
      <c r="T7" s="9">
        <f t="shared" si="4"/>
        <v>0</v>
      </c>
    </row>
    <row r="8" spans="1:20" x14ac:dyDescent="0.35">
      <c r="F8" s="2"/>
      <c r="G8" s="2"/>
      <c r="H8" s="2"/>
      <c r="I8" s="2"/>
      <c r="J8" s="2"/>
      <c r="K8" s="2"/>
      <c r="L8" s="2"/>
      <c r="M8" s="2"/>
      <c r="O8" s="1" t="str">
        <f>IF(ISNUMBER(MATCH(MID(C8,6,1),{"B","E","N","P","R"},0)),CONCATENATE(MID(D8,1,3),MID(C8,6,1),N8),"FALSE")</f>
        <v>FALSE</v>
      </c>
      <c r="P8" s="1">
        <v>1</v>
      </c>
      <c r="Q8" s="2" t="e">
        <f t="shared" si="1"/>
        <v>#DIV/0!</v>
      </c>
      <c r="R8" s="2" t="e">
        <f t="shared" si="2"/>
        <v>#DIV/0!</v>
      </c>
      <c r="S8" s="9">
        <f t="shared" si="3"/>
        <v>0</v>
      </c>
      <c r="T8" s="9">
        <f t="shared" si="4"/>
        <v>0</v>
      </c>
    </row>
    <row r="9" spans="1:20" x14ac:dyDescent="0.35">
      <c r="F9" s="2"/>
      <c r="G9" s="2"/>
      <c r="H9" s="2"/>
      <c r="I9" s="2"/>
      <c r="J9" s="2"/>
      <c r="K9" s="2"/>
      <c r="L9" s="2"/>
      <c r="M9" s="2"/>
      <c r="O9" s="1" t="str">
        <f>IF(ISNUMBER(MATCH(MID(C9,6,1),{"B","E","N","P","R"},0)),CONCATENATE(MID(D9,1,3),MID(C9,6,1),N9),"FALSE")</f>
        <v>FALSE</v>
      </c>
      <c r="P9" s="1">
        <v>1</v>
      </c>
      <c r="Q9" s="2" t="e">
        <f t="shared" si="1"/>
        <v>#DIV/0!</v>
      </c>
      <c r="R9" s="2" t="e">
        <f t="shared" si="2"/>
        <v>#DIV/0!</v>
      </c>
      <c r="S9" s="9">
        <f t="shared" si="3"/>
        <v>0</v>
      </c>
      <c r="T9" s="9">
        <f t="shared" si="4"/>
        <v>0</v>
      </c>
    </row>
    <row r="10" spans="1:20" x14ac:dyDescent="0.35">
      <c r="F10" s="2"/>
      <c r="G10" s="2"/>
      <c r="H10" s="2"/>
      <c r="I10" s="2"/>
      <c r="J10" s="2"/>
      <c r="K10" s="2"/>
      <c r="L10" s="2"/>
      <c r="M10" s="2"/>
      <c r="O10" s="1" t="str">
        <f>IF(ISNUMBER(MATCH(MID(C10,6,1),{"B","E","N","P","R"},0)),CONCATENATE(MID(D10,1,3),MID(C10,6,1),N10),"FALSE")</f>
        <v>FALSE</v>
      </c>
      <c r="P10" s="1">
        <v>1</v>
      </c>
      <c r="Q10" s="2" t="e">
        <f t="shared" si="1"/>
        <v>#DIV/0!</v>
      </c>
      <c r="R10" s="2" t="e">
        <f t="shared" si="2"/>
        <v>#DIV/0!</v>
      </c>
      <c r="S10" s="9">
        <f t="shared" si="3"/>
        <v>0</v>
      </c>
      <c r="T10" s="9">
        <f t="shared" si="4"/>
        <v>0</v>
      </c>
    </row>
    <row r="11" spans="1:20" x14ac:dyDescent="0.35">
      <c r="F11" s="2"/>
      <c r="G11" s="2"/>
      <c r="H11" s="2"/>
      <c r="I11" s="2"/>
      <c r="J11" s="2"/>
      <c r="K11" s="2"/>
      <c r="L11" s="2"/>
      <c r="M11" s="2"/>
      <c r="O11" s="1" t="str">
        <f>IF(ISNUMBER(MATCH(MID(C11,6,1),{"B","E","N","P","R"},0)),CONCATENATE(MID(D11,1,3),MID(C11,6,1),N11),"FALSE")</f>
        <v>FALSE</v>
      </c>
      <c r="P11" s="1">
        <v>1</v>
      </c>
      <c r="Q11" s="2" t="e">
        <f t="shared" si="1"/>
        <v>#DIV/0!</v>
      </c>
      <c r="R11" s="2" t="e">
        <f t="shared" si="2"/>
        <v>#DIV/0!</v>
      </c>
      <c r="S11" s="9">
        <f t="shared" si="3"/>
        <v>0</v>
      </c>
      <c r="T11" s="9">
        <f t="shared" si="4"/>
        <v>0</v>
      </c>
    </row>
    <row r="12" spans="1:20" x14ac:dyDescent="0.35">
      <c r="F12" s="2"/>
      <c r="G12" s="2"/>
      <c r="H12" s="2"/>
      <c r="I12" s="2"/>
      <c r="J12" s="2"/>
      <c r="K12" s="2"/>
      <c r="L12" s="2"/>
      <c r="M12" s="2"/>
      <c r="O12" s="1" t="str">
        <f>IF(ISNUMBER(MATCH(MID(C12,6,1),{"B","E","N","P","R"},0)),CONCATENATE(MID(D12,1,3),MID(C12,6,1),N12),"FALSE")</f>
        <v>FALSE</v>
      </c>
      <c r="P12" s="1">
        <v>1</v>
      </c>
      <c r="Q12" s="2" t="e">
        <f t="shared" si="1"/>
        <v>#DIV/0!</v>
      </c>
      <c r="R12" s="2" t="e">
        <f t="shared" si="2"/>
        <v>#DIV/0!</v>
      </c>
      <c r="S12" s="9">
        <f t="shared" si="3"/>
        <v>0</v>
      </c>
      <c r="T12" s="9">
        <f t="shared" si="4"/>
        <v>0</v>
      </c>
    </row>
    <row r="13" spans="1:20" x14ac:dyDescent="0.35">
      <c r="F13" s="2"/>
      <c r="G13" s="2"/>
      <c r="H13" s="2"/>
      <c r="I13" s="2"/>
      <c r="J13" s="2"/>
      <c r="K13" s="2"/>
      <c r="L13" s="2"/>
      <c r="M13" s="2"/>
      <c r="O13" s="1" t="str">
        <f>IF(ISNUMBER(MATCH(MID(C13,6,1),{"B","E","N","P","R"},0)),CONCATENATE(MID(D13,1,3),MID(C13,6,1),N13),"FALSE")</f>
        <v>FALSE</v>
      </c>
      <c r="P13" s="1">
        <v>1</v>
      </c>
      <c r="Q13" s="2" t="e">
        <f t="shared" si="1"/>
        <v>#DIV/0!</v>
      </c>
      <c r="R13" s="2" t="e">
        <f t="shared" si="2"/>
        <v>#DIV/0!</v>
      </c>
      <c r="S13" s="9">
        <f t="shared" si="3"/>
        <v>0</v>
      </c>
      <c r="T13" s="9">
        <f t="shared" si="4"/>
        <v>0</v>
      </c>
    </row>
    <row r="14" spans="1:20" x14ac:dyDescent="0.35">
      <c r="F14" s="2"/>
      <c r="G14" s="2"/>
      <c r="H14" s="2"/>
      <c r="I14" s="2"/>
      <c r="J14" s="2"/>
      <c r="K14" s="2"/>
      <c r="L14" s="2"/>
      <c r="M14" s="2"/>
      <c r="O14" s="1" t="str">
        <f>IF(ISNUMBER(MATCH(MID(C14,6,1),{"B","E","N","P","R"},0)),CONCATENATE(MID(D14,1,3),MID(C14,6,1),N14),"FALSE")</f>
        <v>FALSE</v>
      </c>
      <c r="P14" s="1">
        <v>1</v>
      </c>
      <c r="Q14" s="2" t="e">
        <f t="shared" si="1"/>
        <v>#DIV/0!</v>
      </c>
      <c r="R14" s="2" t="e">
        <f t="shared" si="2"/>
        <v>#DIV/0!</v>
      </c>
      <c r="S14" s="9">
        <f t="shared" si="3"/>
        <v>0</v>
      </c>
      <c r="T14" s="9">
        <f t="shared" si="4"/>
        <v>0</v>
      </c>
    </row>
    <row r="15" spans="1:20" x14ac:dyDescent="0.35">
      <c r="F15" s="2"/>
      <c r="G15" s="2"/>
      <c r="H15" s="2"/>
      <c r="I15" s="2"/>
      <c r="J15" s="2"/>
      <c r="K15" s="2"/>
      <c r="L15" s="2"/>
      <c r="M15" s="2"/>
      <c r="O15" s="1" t="str">
        <f>IF(ISNUMBER(MATCH(MID(C15,6,1),{"B","E","N","P","R"},0)),CONCATENATE(MID(D15,1,3),MID(C15,6,1),N15),"FALSE")</f>
        <v>FALSE</v>
      </c>
      <c r="P15" s="1">
        <v>1</v>
      </c>
      <c r="Q15" s="2" t="e">
        <f t="shared" si="1"/>
        <v>#DIV/0!</v>
      </c>
      <c r="R15" s="2" t="e">
        <f t="shared" si="2"/>
        <v>#DIV/0!</v>
      </c>
      <c r="S15" s="9">
        <f t="shared" si="3"/>
        <v>0</v>
      </c>
      <c r="T15" s="9">
        <f t="shared" si="4"/>
        <v>0</v>
      </c>
    </row>
    <row r="16" spans="1:20" x14ac:dyDescent="0.35">
      <c r="F16" s="2"/>
      <c r="G16" s="2"/>
      <c r="H16" s="2"/>
      <c r="I16" s="2"/>
      <c r="J16" s="2"/>
      <c r="K16" s="2"/>
      <c r="L16" s="2"/>
      <c r="M16" s="2"/>
      <c r="O16" s="1" t="str">
        <f>IF(ISNUMBER(MATCH(MID(C16,6,1),{"B","E","N","P","R"},0)),CONCATENATE(MID(D16,1,3),MID(C16,6,1),N16),"FALSE")</f>
        <v>FALSE</v>
      </c>
      <c r="P16" s="1">
        <v>1</v>
      </c>
      <c r="Q16" s="2" t="e">
        <f t="shared" si="1"/>
        <v>#DIV/0!</v>
      </c>
      <c r="R16" s="2" t="e">
        <f t="shared" si="2"/>
        <v>#DIV/0!</v>
      </c>
      <c r="S16" s="9">
        <f t="shared" si="3"/>
        <v>0</v>
      </c>
      <c r="T16" s="9">
        <f t="shared" si="4"/>
        <v>0</v>
      </c>
    </row>
    <row r="17" spans="6:20" x14ac:dyDescent="0.35">
      <c r="F17" s="2"/>
      <c r="G17" s="2"/>
      <c r="H17" s="2"/>
      <c r="I17" s="2"/>
      <c r="J17" s="2"/>
      <c r="K17" s="2"/>
      <c r="L17" s="2"/>
      <c r="M17" s="2"/>
      <c r="O17" s="1" t="str">
        <f>IF(ISNUMBER(MATCH(MID(C17,6,1),{"B","E","N","P","R"},0)),CONCATENATE(MID(D17,1,3),MID(C17,6,1),N17),"FALSE")</f>
        <v>FALSE</v>
      </c>
      <c r="P17" s="1">
        <v>1</v>
      </c>
      <c r="Q17" s="2" t="e">
        <f t="shared" si="1"/>
        <v>#DIV/0!</v>
      </c>
      <c r="R17" s="2" t="e">
        <f t="shared" si="2"/>
        <v>#DIV/0!</v>
      </c>
      <c r="S17" s="9">
        <f t="shared" si="3"/>
        <v>0</v>
      </c>
      <c r="T17" s="9">
        <f t="shared" si="4"/>
        <v>0</v>
      </c>
    </row>
    <row r="18" spans="6:20" x14ac:dyDescent="0.35">
      <c r="F18" s="2"/>
      <c r="G18" s="2"/>
      <c r="H18" s="2"/>
      <c r="I18" s="2"/>
      <c r="J18" s="2"/>
      <c r="K18" s="2"/>
      <c r="L18" s="2"/>
      <c r="M18" s="2"/>
      <c r="O18" s="1" t="str">
        <f>IF(ISNUMBER(MATCH(MID(C18,6,1),{"B","E","N","P","R"},0)),CONCATENATE(MID(D18,1,3),MID(C18,6,1),N18),"FALSE")</f>
        <v>FALSE</v>
      </c>
      <c r="P18" s="1">
        <v>1</v>
      </c>
      <c r="Q18" s="2" t="e">
        <f t="shared" si="1"/>
        <v>#DIV/0!</v>
      </c>
      <c r="R18" s="2" t="e">
        <f t="shared" si="2"/>
        <v>#DIV/0!</v>
      </c>
      <c r="S18" s="9">
        <f t="shared" si="3"/>
        <v>0</v>
      </c>
      <c r="T18" s="9">
        <f t="shared" si="4"/>
        <v>0</v>
      </c>
    </row>
    <row r="19" spans="6:20" x14ac:dyDescent="0.35">
      <c r="F19" s="2"/>
      <c r="G19" s="2"/>
      <c r="H19" s="2"/>
      <c r="I19" s="2"/>
      <c r="J19" s="2"/>
      <c r="K19" s="2"/>
      <c r="L19" s="2"/>
      <c r="M19" s="2"/>
      <c r="O19" s="1" t="str">
        <f>IF(ISNUMBER(MATCH(MID(C19,6,1),{"B","E","N","P","R"},0)),CONCATENATE(MID(D19,1,3),MID(C19,6,1),N19),"FALSE")</f>
        <v>FALSE</v>
      </c>
      <c r="P19" s="1">
        <v>1</v>
      </c>
      <c r="Q19" s="2" t="e">
        <f t="shared" si="1"/>
        <v>#DIV/0!</v>
      </c>
      <c r="R19" s="2" t="e">
        <f t="shared" si="2"/>
        <v>#DIV/0!</v>
      </c>
      <c r="S19" s="9">
        <f t="shared" si="3"/>
        <v>0</v>
      </c>
      <c r="T19" s="9">
        <f t="shared" si="4"/>
        <v>0</v>
      </c>
    </row>
    <row r="20" spans="6:20" x14ac:dyDescent="0.35">
      <c r="F20" s="2"/>
      <c r="G20" s="2"/>
      <c r="H20" s="2"/>
      <c r="I20" s="2"/>
      <c r="J20" s="2"/>
      <c r="K20" s="2"/>
      <c r="L20" s="2"/>
      <c r="M20" s="2"/>
      <c r="O20" s="1" t="str">
        <f>IF(ISNUMBER(MATCH(MID(C20,6,1),{"B","E","N","P","R"},0)),CONCATENATE(MID(D20,1,3),MID(C20,6,1),N20),"FALSE")</f>
        <v>FALSE</v>
      </c>
      <c r="P20" s="1">
        <v>1</v>
      </c>
      <c r="Q20" s="2" t="e">
        <f t="shared" si="1"/>
        <v>#DIV/0!</v>
      </c>
      <c r="R20" s="2" t="e">
        <f t="shared" si="2"/>
        <v>#DIV/0!</v>
      </c>
      <c r="S20" s="9">
        <f t="shared" si="3"/>
        <v>0</v>
      </c>
      <c r="T20" s="9">
        <f t="shared" si="4"/>
        <v>0</v>
      </c>
    </row>
    <row r="21" spans="6:20" x14ac:dyDescent="0.35">
      <c r="F21" s="2"/>
      <c r="G21" s="2"/>
      <c r="H21" s="2"/>
      <c r="I21" s="2"/>
      <c r="J21" s="2"/>
      <c r="K21" s="2"/>
      <c r="L21" s="2"/>
      <c r="M21" s="2"/>
      <c r="O21" s="1" t="str">
        <f>IF(ISNUMBER(MATCH(MID(C21,6,1),{"B","E","N","P","R"},0)),CONCATENATE(MID(D21,1,3),MID(C21,6,1),N21),"FALSE")</f>
        <v>FALSE</v>
      </c>
      <c r="P21" s="1">
        <v>1</v>
      </c>
      <c r="Q21" s="2" t="e">
        <f t="shared" si="1"/>
        <v>#DIV/0!</v>
      </c>
      <c r="R21" s="2" t="e">
        <f t="shared" si="2"/>
        <v>#DIV/0!</v>
      </c>
      <c r="S21" s="9">
        <f t="shared" si="3"/>
        <v>0</v>
      </c>
      <c r="T21" s="9">
        <f t="shared" si="4"/>
        <v>0</v>
      </c>
    </row>
    <row r="22" spans="6:20" x14ac:dyDescent="0.35">
      <c r="F22" s="2"/>
      <c r="G22" s="2"/>
      <c r="H22" s="2"/>
      <c r="I22" s="2"/>
      <c r="J22" s="2"/>
      <c r="K22" s="2"/>
      <c r="L22" s="2"/>
      <c r="M22" s="2"/>
      <c r="O22" s="1" t="str">
        <f>IF(ISNUMBER(MATCH(MID(C22,6,1),{"B","E","N","P","R"},0)),CONCATENATE(MID(D22,1,3),MID(C22,6,1),N22),"FALSE")</f>
        <v>FALSE</v>
      </c>
      <c r="P22" s="1">
        <v>1</v>
      </c>
      <c r="Q22" s="2" t="e">
        <f t="shared" si="1"/>
        <v>#DIV/0!</v>
      </c>
      <c r="R22" s="2" t="e">
        <f t="shared" si="2"/>
        <v>#DIV/0!</v>
      </c>
      <c r="S22" s="9">
        <f t="shared" si="3"/>
        <v>0</v>
      </c>
      <c r="T22" s="9">
        <f t="shared" si="4"/>
        <v>0</v>
      </c>
    </row>
    <row r="23" spans="6:20" x14ac:dyDescent="0.35">
      <c r="F23" s="2"/>
      <c r="G23" s="2"/>
      <c r="H23" s="2"/>
      <c r="I23" s="2"/>
      <c r="J23" s="2"/>
      <c r="K23" s="2"/>
      <c r="L23" s="2"/>
      <c r="M23" s="2"/>
      <c r="O23" s="1" t="str">
        <f>IF(ISNUMBER(MATCH(MID(C23,6,1),{"B","E","N","P","R"},0)),CONCATENATE(MID(D23,1,3),MID(C23,6,1),N23),"FALSE")</f>
        <v>FALSE</v>
      </c>
      <c r="P23" s="1">
        <v>1</v>
      </c>
      <c r="Q23" s="2" t="e">
        <f t="shared" si="1"/>
        <v>#DIV/0!</v>
      </c>
      <c r="R23" s="2" t="e">
        <f t="shared" si="2"/>
        <v>#DIV/0!</v>
      </c>
      <c r="S23" s="9">
        <f t="shared" si="3"/>
        <v>0</v>
      </c>
      <c r="T23" s="9">
        <f t="shared" si="4"/>
        <v>0</v>
      </c>
    </row>
    <row r="24" spans="6:20" x14ac:dyDescent="0.35">
      <c r="F24" s="2"/>
      <c r="G24" s="2"/>
      <c r="H24" s="2"/>
      <c r="I24" s="2"/>
      <c r="J24" s="2"/>
      <c r="K24" s="2"/>
      <c r="L24" s="2"/>
      <c r="M24" s="2"/>
      <c r="O24" s="1" t="str">
        <f>IF(ISNUMBER(MATCH(MID(C24,7,1),{"B","E","N","P","R"},0)),CONCATENATE(MID(D24,1,3),MID(C24,7,1),N24),"FALSE")</f>
        <v>FALSE</v>
      </c>
      <c r="P24" s="1">
        <v>1</v>
      </c>
      <c r="Q24" s="2" t="e">
        <f t="shared" si="1"/>
        <v>#DIV/0!</v>
      </c>
      <c r="R24" s="2" t="e">
        <f t="shared" si="2"/>
        <v>#DIV/0!</v>
      </c>
      <c r="S24" s="9">
        <f t="shared" si="3"/>
        <v>0</v>
      </c>
      <c r="T24" s="9">
        <f t="shared" si="4"/>
        <v>0</v>
      </c>
    </row>
    <row r="25" spans="6:20" x14ac:dyDescent="0.35">
      <c r="F25" s="2"/>
      <c r="G25" s="2"/>
      <c r="H25" s="2"/>
      <c r="I25" s="2"/>
      <c r="J25" s="2"/>
      <c r="K25" s="2"/>
      <c r="L25" s="2"/>
      <c r="M25" s="2"/>
      <c r="O25" s="1" t="str">
        <f>IF(ISNUMBER(MATCH(MID(C25,7,1),{"B","E","N","P","R"},0)),CONCATENATE(MID(D25,1,3),MID(C25,7,1),N25),"FALSE")</f>
        <v>FALSE</v>
      </c>
      <c r="P25" s="1">
        <v>1</v>
      </c>
      <c r="Q25" s="2" t="e">
        <f t="shared" si="1"/>
        <v>#DIV/0!</v>
      </c>
      <c r="R25" s="2" t="e">
        <f t="shared" si="2"/>
        <v>#DIV/0!</v>
      </c>
      <c r="S25" s="9">
        <f t="shared" si="3"/>
        <v>0</v>
      </c>
      <c r="T25" s="9">
        <f t="shared" si="4"/>
        <v>0</v>
      </c>
    </row>
    <row r="26" spans="6:20" x14ac:dyDescent="0.35">
      <c r="F26" s="2"/>
      <c r="G26" s="2"/>
      <c r="H26" s="2"/>
      <c r="I26" s="2"/>
      <c r="J26" s="2"/>
      <c r="K26" s="2"/>
      <c r="L26" s="2"/>
      <c r="M26" s="2"/>
      <c r="O26" s="1" t="str">
        <f>IF(ISNUMBER(MATCH(MID(C26,7,1),{"B","E","N","P","R"},0)),CONCATENATE(MID(D26,1,3),MID(C26,7,1),N26),"FALSE")</f>
        <v>FALSE</v>
      </c>
      <c r="P26" s="1">
        <v>1</v>
      </c>
      <c r="Q26" s="2" t="e">
        <f t="shared" si="1"/>
        <v>#DIV/0!</v>
      </c>
      <c r="R26" s="2" t="e">
        <f t="shared" si="2"/>
        <v>#DIV/0!</v>
      </c>
      <c r="S26" s="9">
        <f t="shared" si="3"/>
        <v>0</v>
      </c>
      <c r="T26" s="9">
        <f t="shared" si="4"/>
        <v>0</v>
      </c>
    </row>
    <row r="27" spans="6:20" x14ac:dyDescent="0.35">
      <c r="F27" s="2"/>
      <c r="G27" s="2"/>
      <c r="H27" s="2"/>
      <c r="I27" s="2"/>
      <c r="J27" s="2"/>
      <c r="K27" s="2"/>
      <c r="L27" s="2"/>
      <c r="M27" s="2"/>
      <c r="O27" s="1" t="str">
        <f>IF(ISNUMBER(MATCH(MID(C27,7,1),{"B","E","N","P","R"},0)),CONCATENATE(MID(D27,1,3),MID(C27,7,1),N27),"FALSE")</f>
        <v>FALSE</v>
      </c>
      <c r="P27" s="1">
        <v>1</v>
      </c>
      <c r="Q27" s="2" t="e">
        <f t="shared" si="1"/>
        <v>#DIV/0!</v>
      </c>
      <c r="R27" s="2" t="e">
        <f t="shared" si="2"/>
        <v>#DIV/0!</v>
      </c>
      <c r="S27" s="9">
        <f t="shared" si="3"/>
        <v>0</v>
      </c>
      <c r="T27" s="9">
        <f t="shared" si="4"/>
        <v>0</v>
      </c>
    </row>
    <row r="28" spans="6:20" x14ac:dyDescent="0.35">
      <c r="F28" s="2"/>
      <c r="G28" s="2"/>
      <c r="H28" s="2"/>
      <c r="I28" s="2"/>
      <c r="J28" s="2"/>
      <c r="K28" s="2"/>
      <c r="L28" s="2"/>
      <c r="M28" s="2"/>
      <c r="O28" s="1" t="str">
        <f>IF(ISNUMBER(MATCH(MID(C28,7,1),{"B","E","N","P","R"},0)),CONCATENATE(MID(D28,1,3),MID(C28,7,1),N28),"FALSE")</f>
        <v>FALSE</v>
      </c>
      <c r="P28" s="1">
        <v>1</v>
      </c>
      <c r="Q28" s="2" t="e">
        <f t="shared" si="1"/>
        <v>#DIV/0!</v>
      </c>
      <c r="R28" s="2" t="e">
        <f t="shared" si="2"/>
        <v>#DIV/0!</v>
      </c>
      <c r="S28" s="9">
        <f t="shared" si="3"/>
        <v>0</v>
      </c>
      <c r="T28" s="9">
        <f t="shared" si="4"/>
        <v>0</v>
      </c>
    </row>
    <row r="29" spans="6:20" x14ac:dyDescent="0.35">
      <c r="F29" s="2"/>
      <c r="G29" s="2"/>
      <c r="H29" s="2"/>
      <c r="I29" s="2"/>
      <c r="J29" s="2"/>
      <c r="K29" s="2"/>
      <c r="L29" s="2"/>
      <c r="M29" s="2"/>
      <c r="O29" s="1" t="str">
        <f>IF(ISNUMBER(MATCH(MID(C29,7,1),{"B","E","N","P","R"},0)),CONCATENATE(MID(D29,1,3),MID(C29,7,1),N29),"FALSE")</f>
        <v>FALSE</v>
      </c>
      <c r="P29" s="1">
        <v>1</v>
      </c>
      <c r="Q29" s="2" t="e">
        <f t="shared" si="1"/>
        <v>#DIV/0!</v>
      </c>
      <c r="R29" s="2" t="e">
        <f t="shared" si="2"/>
        <v>#DIV/0!</v>
      </c>
      <c r="S29" s="9">
        <f t="shared" si="3"/>
        <v>0</v>
      </c>
      <c r="T29" s="9">
        <f t="shared" si="4"/>
        <v>0</v>
      </c>
    </row>
    <row r="30" spans="6:20" x14ac:dyDescent="0.35">
      <c r="F30" s="2"/>
      <c r="G30" s="2"/>
      <c r="H30" s="2"/>
      <c r="I30" s="2"/>
      <c r="J30" s="2"/>
      <c r="K30" s="2"/>
      <c r="L30" s="2"/>
      <c r="M30" s="2"/>
      <c r="O30" s="1" t="str">
        <f>IF(ISNUMBER(MATCH(MID(C30,7,1),{"B","E","N","P","R"},0)),CONCATENATE(MID(D30,1,3),MID(C30,7,1),N30),"FALSE")</f>
        <v>FALSE</v>
      </c>
      <c r="P30" s="1">
        <v>1</v>
      </c>
      <c r="Q30" s="2" t="e">
        <f t="shared" si="1"/>
        <v>#DIV/0!</v>
      </c>
      <c r="R30" s="2" t="e">
        <f t="shared" si="2"/>
        <v>#DIV/0!</v>
      </c>
      <c r="S30" s="9">
        <f t="shared" si="3"/>
        <v>0</v>
      </c>
      <c r="T30" s="9">
        <f t="shared" si="4"/>
        <v>0</v>
      </c>
    </row>
    <row r="31" spans="6:20" x14ac:dyDescent="0.35">
      <c r="F31" s="2"/>
      <c r="G31" s="2"/>
      <c r="H31" s="2"/>
      <c r="I31" s="2"/>
      <c r="J31" s="2"/>
      <c r="K31" s="2"/>
      <c r="L31" s="2"/>
      <c r="M31" s="2"/>
      <c r="O31" s="1" t="str">
        <f>IF(ISNUMBER(MATCH(MID(C31,7,1),{"B","E","N","P","R"},0)),CONCATENATE(MID(D31,1,3),MID(C31,7,1),N31),"FALSE")</f>
        <v>FALSE</v>
      </c>
      <c r="P31" s="1">
        <v>1</v>
      </c>
      <c r="Q31" s="2" t="e">
        <f t="shared" si="1"/>
        <v>#DIV/0!</v>
      </c>
      <c r="R31" s="2" t="e">
        <f t="shared" si="2"/>
        <v>#DIV/0!</v>
      </c>
      <c r="S31" s="9">
        <f t="shared" si="3"/>
        <v>0</v>
      </c>
      <c r="T31" s="9">
        <f t="shared" si="4"/>
        <v>0</v>
      </c>
    </row>
    <row r="32" spans="6:20" x14ac:dyDescent="0.35">
      <c r="F32" s="2"/>
      <c r="G32" s="2"/>
      <c r="H32" s="2"/>
      <c r="I32" s="2"/>
      <c r="J32" s="2"/>
      <c r="K32" s="2"/>
      <c r="L32" s="2"/>
      <c r="M32" s="2"/>
      <c r="O32" s="1" t="str">
        <f>IF(ISNUMBER(MATCH(MID(C32,7,1),{"B","E","N","P","R"},0)),CONCATENATE(MID(D32,1,3),MID(C32,7,1),N32),"FALSE")</f>
        <v>FALSE</v>
      </c>
      <c r="P32" s="1">
        <v>1</v>
      </c>
      <c r="Q32" s="2" t="e">
        <f t="shared" si="1"/>
        <v>#DIV/0!</v>
      </c>
      <c r="R32" s="2" t="e">
        <f t="shared" si="2"/>
        <v>#DIV/0!</v>
      </c>
      <c r="S32" s="9">
        <f t="shared" si="3"/>
        <v>0</v>
      </c>
      <c r="T32" s="9">
        <f t="shared" si="4"/>
        <v>0</v>
      </c>
    </row>
    <row r="33" spans="6:20" x14ac:dyDescent="0.35">
      <c r="F33" s="2"/>
      <c r="G33" s="2"/>
      <c r="H33" s="2"/>
      <c r="I33" s="2"/>
      <c r="J33" s="2"/>
      <c r="K33" s="2"/>
      <c r="L33" s="2"/>
      <c r="M33" s="2"/>
      <c r="O33" s="1" t="str">
        <f>IF(ISNUMBER(MATCH(MID(C33,7,1),{"B","E","N","P","R"},0)),CONCATENATE(MID(D33,1,3),MID(C33,7,1),N33),"FALSE")</f>
        <v>FALSE</v>
      </c>
      <c r="P33" s="1">
        <v>1</v>
      </c>
      <c r="Q33" s="2" t="e">
        <f t="shared" si="1"/>
        <v>#DIV/0!</v>
      </c>
      <c r="R33" s="2" t="e">
        <f t="shared" si="2"/>
        <v>#DIV/0!</v>
      </c>
      <c r="S33" s="9">
        <f t="shared" si="3"/>
        <v>0</v>
      </c>
      <c r="T33" s="9">
        <f t="shared" si="4"/>
        <v>0</v>
      </c>
    </row>
    <row r="34" spans="6:20" x14ac:dyDescent="0.35">
      <c r="F34" s="2"/>
      <c r="G34" s="2"/>
      <c r="H34" s="2"/>
      <c r="I34" s="2"/>
      <c r="J34" s="2"/>
      <c r="K34" s="2"/>
      <c r="L34" s="2"/>
      <c r="M34" s="2"/>
      <c r="O34" s="1" t="str">
        <f>IF(ISNUMBER(MATCH(MID(C34,7,1),{"B","E","N","P","R"},0)),CONCATENATE(MID(D34,1,3),MID(C34,7,1),N34),"FALSE")</f>
        <v>FALSE</v>
      </c>
      <c r="P34" s="1">
        <v>1</v>
      </c>
      <c r="Q34" s="2" t="e">
        <f t="shared" si="1"/>
        <v>#DIV/0!</v>
      </c>
      <c r="R34" s="2" t="e">
        <f t="shared" si="2"/>
        <v>#DIV/0!</v>
      </c>
      <c r="S34" s="9">
        <f t="shared" si="3"/>
        <v>0</v>
      </c>
      <c r="T34" s="9">
        <f t="shared" si="4"/>
        <v>0</v>
      </c>
    </row>
    <row r="35" spans="6:20" x14ac:dyDescent="0.35">
      <c r="F35" s="2"/>
      <c r="G35" s="2"/>
      <c r="H35" s="2"/>
      <c r="I35" s="2"/>
      <c r="J35" s="2"/>
      <c r="K35" s="2"/>
      <c r="L35" s="2"/>
      <c r="M35" s="2"/>
      <c r="O35" s="1" t="str">
        <f>IF(ISNUMBER(MATCH(MID(C35,7,1),{"B","E","N","P","R"},0)),CONCATENATE(MID(D35,1,3),MID(C35,7,1),N35),"FALSE")</f>
        <v>FALSE</v>
      </c>
      <c r="P35" s="1">
        <v>1</v>
      </c>
      <c r="Q35" s="2" t="e">
        <f t="shared" si="1"/>
        <v>#DIV/0!</v>
      </c>
      <c r="R35" s="2" t="e">
        <f t="shared" si="2"/>
        <v>#DIV/0!</v>
      </c>
      <c r="S35" s="9">
        <f t="shared" si="3"/>
        <v>0</v>
      </c>
      <c r="T35" s="9">
        <f t="shared" si="4"/>
        <v>0</v>
      </c>
    </row>
    <row r="36" spans="6:20" x14ac:dyDescent="0.35">
      <c r="F36" s="2"/>
      <c r="G36" s="2"/>
      <c r="H36" s="2"/>
      <c r="I36" s="2"/>
      <c r="J36" s="2"/>
      <c r="K36" s="2"/>
      <c r="L36" s="2"/>
      <c r="M36" s="2"/>
      <c r="O36" s="1" t="str">
        <f>IF(ISNUMBER(MATCH(MID(C36,7,1),{"B","E","N","P","R"},0)),CONCATENATE(MID(D36,1,3),MID(C36,7,1),N36),"FALSE")</f>
        <v>FALSE</v>
      </c>
      <c r="P36" s="1">
        <v>1</v>
      </c>
      <c r="Q36" s="2" t="e">
        <f t="shared" si="1"/>
        <v>#DIV/0!</v>
      </c>
      <c r="R36" s="2" t="e">
        <f t="shared" si="2"/>
        <v>#DIV/0!</v>
      </c>
      <c r="S36" s="9">
        <f t="shared" si="3"/>
        <v>0</v>
      </c>
      <c r="T36" s="9">
        <f t="shared" si="4"/>
        <v>0</v>
      </c>
    </row>
    <row r="37" spans="6:20" x14ac:dyDescent="0.35">
      <c r="F37" s="2"/>
      <c r="G37" s="2"/>
      <c r="H37" s="2"/>
      <c r="I37" s="2"/>
      <c r="J37" s="2"/>
      <c r="K37" s="2"/>
      <c r="L37" s="2"/>
      <c r="M37" s="2"/>
      <c r="O37" s="1" t="str">
        <f>IF(ISNUMBER(MATCH(MID(C37,7,1),{"B","E","N","P","R"},0)),CONCATENATE(MID(D37,1,3),MID(C37,7,1),N37),"FALSE")</f>
        <v>FALSE</v>
      </c>
      <c r="P37" s="1">
        <v>1</v>
      </c>
      <c r="Q37" s="2" t="e">
        <f t="shared" si="1"/>
        <v>#DIV/0!</v>
      </c>
      <c r="R37" s="2" t="e">
        <f t="shared" si="2"/>
        <v>#DIV/0!</v>
      </c>
      <c r="S37" s="9">
        <f t="shared" si="3"/>
        <v>0</v>
      </c>
      <c r="T37" s="9">
        <f t="shared" si="4"/>
        <v>0</v>
      </c>
    </row>
    <row r="38" spans="6:20" x14ac:dyDescent="0.35">
      <c r="F38" s="2"/>
      <c r="G38" s="2"/>
      <c r="H38" s="2"/>
      <c r="I38" s="2"/>
      <c r="J38" s="2"/>
      <c r="K38" s="2"/>
      <c r="L38" s="2"/>
      <c r="M38" s="2"/>
      <c r="O38" s="1" t="str">
        <f>IF(ISNUMBER(MATCH(MID(C38,7,1),{"B","E","N","P","R"},0)),CONCATENATE(MID(D38,1,3),MID(C38,7,1),N38),"FALSE")</f>
        <v>FALSE</v>
      </c>
      <c r="P38" s="1">
        <v>1</v>
      </c>
      <c r="Q38" s="2" t="e">
        <f t="shared" si="1"/>
        <v>#DIV/0!</v>
      </c>
      <c r="R38" s="2" t="e">
        <f t="shared" si="2"/>
        <v>#DIV/0!</v>
      </c>
      <c r="S38" s="9">
        <f t="shared" si="3"/>
        <v>0</v>
      </c>
      <c r="T38" s="9">
        <f t="shared" si="4"/>
        <v>0</v>
      </c>
    </row>
    <row r="39" spans="6:20" x14ac:dyDescent="0.35">
      <c r="F39" s="2"/>
      <c r="G39" s="2"/>
      <c r="H39" s="2"/>
      <c r="I39" s="2"/>
      <c r="J39" s="2"/>
      <c r="K39" s="2"/>
      <c r="L39" s="2"/>
      <c r="M39" s="2"/>
      <c r="O39" s="1" t="str">
        <f>IF(ISNUMBER(MATCH(MID(C39,7,1),{"B","E","N","P","R"},0)),CONCATENATE(MID(D39,1,3),MID(C39,7,1),N39),"FALSE")</f>
        <v>FALSE</v>
      </c>
      <c r="P39" s="1">
        <v>1</v>
      </c>
      <c r="Q39" s="2" t="e">
        <f t="shared" si="1"/>
        <v>#DIV/0!</v>
      </c>
      <c r="R39" s="2" t="e">
        <f t="shared" si="2"/>
        <v>#DIV/0!</v>
      </c>
      <c r="S39" s="9">
        <f t="shared" si="3"/>
        <v>0</v>
      </c>
      <c r="T39" s="9">
        <f t="shared" si="4"/>
        <v>0</v>
      </c>
    </row>
    <row r="40" spans="6:20" x14ac:dyDescent="0.35">
      <c r="F40" s="2"/>
      <c r="G40" s="2"/>
      <c r="H40" s="2"/>
      <c r="I40" s="2"/>
      <c r="J40" s="2"/>
      <c r="K40" s="2"/>
      <c r="L40" s="2"/>
      <c r="M40" s="2"/>
      <c r="O40" s="1" t="str">
        <f>IF(ISNUMBER(MATCH(MID(C40,7,1),{"B","E","N","P","R"},0)),CONCATENATE(MID(D40,1,3),MID(C40,7,1),N40),"FALSE")</f>
        <v>FALSE</v>
      </c>
      <c r="P40" s="1">
        <v>1</v>
      </c>
      <c r="Q40" s="2" t="e">
        <f t="shared" si="1"/>
        <v>#DIV/0!</v>
      </c>
      <c r="R40" s="2" t="e">
        <f t="shared" si="2"/>
        <v>#DIV/0!</v>
      </c>
      <c r="S40" s="9">
        <f t="shared" si="3"/>
        <v>0</v>
      </c>
      <c r="T40" s="9">
        <f t="shared" si="4"/>
        <v>0</v>
      </c>
    </row>
    <row r="41" spans="6:20" x14ac:dyDescent="0.35">
      <c r="F41" s="2"/>
      <c r="G41" s="2"/>
      <c r="H41" s="2"/>
      <c r="I41" s="2"/>
      <c r="J41" s="2"/>
      <c r="K41" s="2"/>
      <c r="L41" s="2"/>
      <c r="M41" s="2"/>
      <c r="O41" s="1" t="str">
        <f>IF(ISNUMBER(MATCH(MID(C41,7,1),{"B","E","N","P","R"},0)),CONCATENATE(MID(D41,1,3),MID(C41,7,1),N41),"FALSE")</f>
        <v>FALSE</v>
      </c>
      <c r="P41" s="1">
        <v>1</v>
      </c>
      <c r="Q41" s="2" t="e">
        <f t="shared" si="1"/>
        <v>#DIV/0!</v>
      </c>
      <c r="R41" s="2" t="e">
        <f t="shared" si="2"/>
        <v>#DIV/0!</v>
      </c>
      <c r="S41" s="9">
        <f t="shared" si="3"/>
        <v>0</v>
      </c>
      <c r="T41" s="9">
        <f t="shared" si="4"/>
        <v>0</v>
      </c>
    </row>
    <row r="42" spans="6:20" x14ac:dyDescent="0.35">
      <c r="F42" s="2"/>
      <c r="G42" s="2"/>
      <c r="H42" s="2"/>
      <c r="I42" s="2"/>
      <c r="J42" s="2"/>
      <c r="K42" s="2"/>
      <c r="L42" s="2"/>
      <c r="M42" s="2"/>
      <c r="O42" s="1" t="str">
        <f>IF(ISNUMBER(MATCH(MID(C42,6,1),{"B","E","N","P","R"},0)),CONCATENATE(MID(D42,1,3),MID(C42,6,1),N42),"FALSE")</f>
        <v>FALSE</v>
      </c>
      <c r="P42" s="1">
        <v>1</v>
      </c>
      <c r="Q42" s="2" t="e">
        <f t="shared" si="1"/>
        <v>#DIV/0!</v>
      </c>
      <c r="R42" s="2" t="e">
        <f t="shared" si="2"/>
        <v>#DIV/0!</v>
      </c>
      <c r="S42" s="9">
        <f t="shared" si="3"/>
        <v>0</v>
      </c>
      <c r="T42" s="9">
        <f t="shared" si="4"/>
        <v>0</v>
      </c>
    </row>
    <row r="43" spans="6:20" x14ac:dyDescent="0.35">
      <c r="F43" s="2"/>
      <c r="G43" s="2"/>
      <c r="H43" s="2"/>
      <c r="I43" s="2"/>
      <c r="J43" s="2"/>
      <c r="K43" s="2"/>
      <c r="L43" s="2"/>
      <c r="M43" s="2"/>
      <c r="O43" s="1" t="str">
        <f>IF(ISNUMBER(MATCH(MID(C43,6,1),{"B","E","N","P","R"},0)),CONCATENATE(MID(D43,1,3),MID(C43,6,1),N43),"FALSE")</f>
        <v>FALSE</v>
      </c>
      <c r="P43" s="1">
        <v>1</v>
      </c>
      <c r="Q43" s="2" t="e">
        <f t="shared" si="1"/>
        <v>#DIV/0!</v>
      </c>
      <c r="R43" s="2" t="e">
        <f t="shared" si="2"/>
        <v>#DIV/0!</v>
      </c>
      <c r="S43" s="9">
        <f t="shared" si="3"/>
        <v>0</v>
      </c>
      <c r="T43" s="9">
        <f t="shared" si="4"/>
        <v>0</v>
      </c>
    </row>
    <row r="44" spans="6:20" x14ac:dyDescent="0.35">
      <c r="F44" s="2"/>
      <c r="G44" s="2"/>
      <c r="H44" s="2"/>
      <c r="I44" s="2"/>
      <c r="J44" s="2"/>
      <c r="K44" s="2"/>
      <c r="L44" s="2"/>
      <c r="M44" s="2"/>
      <c r="O44" s="1" t="str">
        <f>IF(ISNUMBER(MATCH(MID(C44,7,1),{"B","E","N","P","R"},0)),CONCATENATE(MID(D44,1,3),MID(C44,7,1),N44),"FALSE")</f>
        <v>FALSE</v>
      </c>
      <c r="P44" s="1">
        <v>1</v>
      </c>
      <c r="Q44" s="2" t="e">
        <f t="shared" si="1"/>
        <v>#DIV/0!</v>
      </c>
      <c r="R44" s="2" t="e">
        <f t="shared" si="2"/>
        <v>#DIV/0!</v>
      </c>
      <c r="S44" s="9">
        <f t="shared" si="3"/>
        <v>0</v>
      </c>
      <c r="T44" s="9">
        <f t="shared" si="4"/>
        <v>0</v>
      </c>
    </row>
    <row r="45" spans="6:20" x14ac:dyDescent="0.35">
      <c r="F45" s="2"/>
      <c r="G45" s="2"/>
      <c r="H45" s="2"/>
      <c r="I45" s="2"/>
      <c r="J45" s="2"/>
      <c r="K45" s="2"/>
      <c r="L45" s="2"/>
      <c r="M45" s="2"/>
      <c r="O45" s="1" t="str">
        <f>IF(ISNUMBER(MATCH(MID(C45,6,1),{"B","E","N","P","R"},0)),CONCATENATE(MID(D45,1,3),MID(C45,6,1),N45),"FALSE")</f>
        <v>FALSE</v>
      </c>
      <c r="P45" s="1">
        <v>1</v>
      </c>
      <c r="Q45" s="2" t="e">
        <f t="shared" si="1"/>
        <v>#DIV/0!</v>
      </c>
      <c r="R45" s="2" t="e">
        <f t="shared" si="2"/>
        <v>#DIV/0!</v>
      </c>
      <c r="S45" s="9">
        <f t="shared" si="3"/>
        <v>0</v>
      </c>
      <c r="T45" s="9">
        <f t="shared" si="4"/>
        <v>0</v>
      </c>
    </row>
    <row r="46" spans="6:20" x14ac:dyDescent="0.35">
      <c r="F46" s="2"/>
      <c r="G46" s="2"/>
      <c r="H46" s="2"/>
      <c r="I46" s="2"/>
      <c r="J46" s="2"/>
      <c r="K46" s="2"/>
      <c r="L46" s="2"/>
      <c r="M46" s="2"/>
      <c r="O46" s="1" t="str">
        <f>IF(ISNUMBER(MATCH(MID(C46,6,1),{"B","E","N","P","R"},0)),CONCATENATE(MID(D46,1,3),MID(C46,6,1),N46),"FALSE")</f>
        <v>FALSE</v>
      </c>
      <c r="P46" s="1">
        <v>1</v>
      </c>
      <c r="Q46" s="2" t="e">
        <f t="shared" si="1"/>
        <v>#DIV/0!</v>
      </c>
      <c r="R46" s="2" t="e">
        <f t="shared" si="2"/>
        <v>#DIV/0!</v>
      </c>
      <c r="S46" s="9">
        <f t="shared" si="3"/>
        <v>0</v>
      </c>
      <c r="T46" s="9">
        <f t="shared" si="4"/>
        <v>0</v>
      </c>
    </row>
    <row r="47" spans="6:20" x14ac:dyDescent="0.35">
      <c r="F47" s="2"/>
      <c r="G47" s="2"/>
      <c r="H47" s="2"/>
      <c r="I47" s="2"/>
      <c r="J47" s="2"/>
      <c r="K47" s="2"/>
      <c r="L47" s="2"/>
      <c r="M47" s="2"/>
      <c r="O47" s="1" t="str">
        <f>IF(ISNUMBER(MATCH(MID(C47,6,1),{"B","E","N","P","R"},0)),CONCATENATE(MID(D47,1,3),MID(C47,6,1),N47),"FALSE")</f>
        <v>FALSE</v>
      </c>
      <c r="P47" s="1">
        <v>1</v>
      </c>
      <c r="Q47" s="2" t="e">
        <f t="shared" si="1"/>
        <v>#DIV/0!</v>
      </c>
      <c r="R47" s="2" t="e">
        <f t="shared" si="2"/>
        <v>#DIV/0!</v>
      </c>
      <c r="S47" s="9">
        <f t="shared" si="3"/>
        <v>0</v>
      </c>
      <c r="T47" s="9">
        <f t="shared" si="4"/>
        <v>0</v>
      </c>
    </row>
    <row r="48" spans="6:20" x14ac:dyDescent="0.35">
      <c r="F48" s="2"/>
      <c r="G48" s="2"/>
      <c r="H48" s="2"/>
      <c r="I48" s="2"/>
      <c r="J48" s="2"/>
      <c r="K48" s="2"/>
      <c r="L48" s="2"/>
      <c r="M48" s="2"/>
      <c r="O48" s="1" t="str">
        <f>IF(ISNUMBER(MATCH(MID(C48,6,1),{"B","E","N","P","R"},0)),CONCATENATE(MID(D48,1,3),MID(C48,6,1),N48),"FALSE")</f>
        <v>FALSE</v>
      </c>
      <c r="P48" s="1">
        <v>1</v>
      </c>
      <c r="Q48" s="2" t="e">
        <f t="shared" si="1"/>
        <v>#DIV/0!</v>
      </c>
      <c r="R48" s="2" t="e">
        <f t="shared" si="2"/>
        <v>#DIV/0!</v>
      </c>
      <c r="S48" s="9">
        <f t="shared" si="3"/>
        <v>0</v>
      </c>
      <c r="T48" s="9">
        <f t="shared" si="4"/>
        <v>0</v>
      </c>
    </row>
    <row r="49" spans="6:20" x14ac:dyDescent="0.35">
      <c r="F49" s="2"/>
      <c r="G49" s="2"/>
      <c r="H49" s="2"/>
      <c r="I49" s="2"/>
      <c r="J49" s="2"/>
      <c r="K49" s="2"/>
      <c r="L49" s="2"/>
      <c r="M49" s="2"/>
      <c r="O49" s="1" t="str">
        <f>IF(ISNUMBER(MATCH(MID(C49,6,1),{"B","E","N","P","R"},0)),CONCATENATE(MID(D49,1,3),MID(C49,6,1),N49),"FALSE")</f>
        <v>FALSE</v>
      </c>
      <c r="P49" s="1">
        <v>1</v>
      </c>
      <c r="Q49" s="2" t="e">
        <f t="shared" si="1"/>
        <v>#DIV/0!</v>
      </c>
      <c r="R49" s="2" t="e">
        <f t="shared" si="2"/>
        <v>#DIV/0!</v>
      </c>
      <c r="S49" s="9">
        <f t="shared" si="3"/>
        <v>0</v>
      </c>
      <c r="T49" s="9">
        <f t="shared" si="4"/>
        <v>0</v>
      </c>
    </row>
    <row r="50" spans="6:20" x14ac:dyDescent="0.35">
      <c r="F50" s="2"/>
      <c r="G50" s="2"/>
      <c r="H50" s="2"/>
      <c r="I50" s="2"/>
      <c r="J50" s="2"/>
      <c r="K50" s="2"/>
      <c r="L50" s="2"/>
      <c r="M50" s="2"/>
      <c r="O50" s="1" t="str">
        <f>IF(ISNUMBER(MATCH(MID(C50,6,1),{"B","E","N","P","R"},0)),CONCATENATE(MID(D50,1,3),MID(C50,6,1),N50),"FALSE")</f>
        <v>FALSE</v>
      </c>
      <c r="P50" s="1">
        <v>1</v>
      </c>
      <c r="Q50" s="2" t="e">
        <f t="shared" si="1"/>
        <v>#DIV/0!</v>
      </c>
      <c r="R50" s="2" t="e">
        <f t="shared" si="2"/>
        <v>#DIV/0!</v>
      </c>
      <c r="S50" s="9">
        <f t="shared" si="3"/>
        <v>0</v>
      </c>
      <c r="T50" s="9">
        <f t="shared" si="4"/>
        <v>0</v>
      </c>
    </row>
    <row r="51" spans="6:20" x14ac:dyDescent="0.35">
      <c r="F51" s="2"/>
      <c r="G51" s="2"/>
      <c r="H51" s="2"/>
      <c r="I51" s="2"/>
      <c r="J51" s="2"/>
      <c r="K51" s="2"/>
      <c r="L51" s="2"/>
      <c r="M51" s="2"/>
      <c r="O51" s="1" t="str">
        <f>IF(ISNUMBER(MATCH(MID(C51,6,1),{"B","E","N","P","R"},0)),CONCATENATE(MID(D51,1,3),MID(C51,6,1),N51),"FALSE")</f>
        <v>FALSE</v>
      </c>
      <c r="P51" s="1">
        <v>1</v>
      </c>
      <c r="Q51" s="2" t="e">
        <f t="shared" si="1"/>
        <v>#DIV/0!</v>
      </c>
      <c r="R51" s="2" t="e">
        <f t="shared" si="2"/>
        <v>#DIV/0!</v>
      </c>
      <c r="S51" s="9">
        <f t="shared" si="3"/>
        <v>0</v>
      </c>
      <c r="T51" s="9">
        <f t="shared" si="4"/>
        <v>0</v>
      </c>
    </row>
    <row r="52" spans="6:20" x14ac:dyDescent="0.35">
      <c r="F52" s="2"/>
      <c r="G52" s="2"/>
      <c r="H52" s="2"/>
      <c r="I52" s="2"/>
      <c r="J52" s="2"/>
      <c r="K52" s="2"/>
      <c r="L52" s="2"/>
      <c r="M52" s="2"/>
      <c r="O52" s="1" t="str">
        <f>IF(ISNUMBER(MATCH(MID(C52,6,1),{"B","E","N","P","R"},0)),CONCATENATE(MID(D52,1,3),MID(C52,6,1),N52),"FALSE")</f>
        <v>FALSE</v>
      </c>
      <c r="P52" s="1">
        <v>1</v>
      </c>
      <c r="Q52" s="2" t="e">
        <f t="shared" si="1"/>
        <v>#DIV/0!</v>
      </c>
      <c r="R52" s="2" t="e">
        <f t="shared" si="2"/>
        <v>#DIV/0!</v>
      </c>
      <c r="S52" s="9">
        <f t="shared" si="3"/>
        <v>0</v>
      </c>
      <c r="T52" s="9">
        <f t="shared" si="4"/>
        <v>0</v>
      </c>
    </row>
    <row r="53" spans="6:20" x14ac:dyDescent="0.35">
      <c r="F53" s="2"/>
      <c r="G53" s="2"/>
      <c r="H53" s="2"/>
      <c r="I53" s="2"/>
      <c r="J53" s="2"/>
      <c r="K53" s="2"/>
      <c r="L53" s="2"/>
      <c r="M53" s="2"/>
      <c r="O53" s="1" t="str">
        <f>IF(ISNUMBER(MATCH(MID(C53,6,1),{"B","E","N","P","R"},0)),CONCATENATE(MID(D53,1,3),MID(C53,6,1),N53),"FALSE")</f>
        <v>FALSE</v>
      </c>
      <c r="P53" s="1">
        <v>1</v>
      </c>
      <c r="Q53" s="2" t="e">
        <f t="shared" si="1"/>
        <v>#DIV/0!</v>
      </c>
      <c r="R53" s="2" t="e">
        <f t="shared" si="2"/>
        <v>#DIV/0!</v>
      </c>
      <c r="S53" s="9">
        <f t="shared" si="3"/>
        <v>0</v>
      </c>
      <c r="T53" s="9">
        <f t="shared" si="4"/>
        <v>0</v>
      </c>
    </row>
    <row r="54" spans="6:20" x14ac:dyDescent="0.35">
      <c r="F54" s="2"/>
      <c r="G54" s="2"/>
      <c r="H54" s="2"/>
      <c r="I54" s="2"/>
      <c r="J54" s="2"/>
      <c r="K54" s="2"/>
      <c r="L54" s="2"/>
      <c r="M54" s="2"/>
      <c r="O54" s="1" t="str">
        <f>IF(ISNUMBER(MATCH(MID(C54,6,1),{"B","E","N","P","R"},0)),CONCATENATE(MID(D54,1,3),MID(C54,6,1),N54),"FALSE")</f>
        <v>FALSE</v>
      </c>
      <c r="P54" s="1">
        <v>1</v>
      </c>
      <c r="Q54" s="2" t="e">
        <f t="shared" si="1"/>
        <v>#DIV/0!</v>
      </c>
      <c r="R54" s="2" t="e">
        <f t="shared" si="2"/>
        <v>#DIV/0!</v>
      </c>
      <c r="S54" s="9">
        <f t="shared" si="3"/>
        <v>0</v>
      </c>
      <c r="T54" s="9">
        <f t="shared" si="4"/>
        <v>0</v>
      </c>
    </row>
    <row r="55" spans="6:20" x14ac:dyDescent="0.35">
      <c r="F55" s="2"/>
      <c r="G55" s="2"/>
      <c r="H55" s="2"/>
      <c r="I55" s="2"/>
      <c r="J55" s="2"/>
      <c r="K55" s="2"/>
      <c r="L55" s="2"/>
      <c r="M55" s="2"/>
      <c r="O55" s="1" t="str">
        <f>IF(ISNUMBER(MATCH(MID(C55,6,1),{"B","E","N","P","R"},0)),CONCATENATE(MID(D55,1,3),MID(C55,6,1),N55),"FALSE")</f>
        <v>FALSE</v>
      </c>
      <c r="P55" s="1">
        <v>1</v>
      </c>
      <c r="Q55" s="2" t="e">
        <f t="shared" si="1"/>
        <v>#DIV/0!</v>
      </c>
      <c r="R55" s="2" t="e">
        <f t="shared" si="2"/>
        <v>#DIV/0!</v>
      </c>
      <c r="S55" s="9">
        <f t="shared" si="3"/>
        <v>0</v>
      </c>
      <c r="T55" s="9">
        <f t="shared" si="4"/>
        <v>0</v>
      </c>
    </row>
    <row r="56" spans="6:20" x14ac:dyDescent="0.35">
      <c r="F56" s="2"/>
      <c r="G56" s="2"/>
      <c r="H56" s="2"/>
      <c r="I56" s="2"/>
      <c r="J56" s="2"/>
      <c r="K56" s="2"/>
      <c r="L56" s="2"/>
      <c r="M56" s="2"/>
      <c r="O56" s="1" t="str">
        <f>IF(ISNUMBER(MATCH(MID(C56,6,1),{"B","E","N","P","R"},0)),CONCATENATE(MID(D56,1,3),MID(C56,6,1),N56),"FALSE")</f>
        <v>FALSE</v>
      </c>
      <c r="P56" s="1">
        <v>1</v>
      </c>
      <c r="Q56" s="2" t="e">
        <f t="shared" si="1"/>
        <v>#DIV/0!</v>
      </c>
      <c r="R56" s="2" t="e">
        <f t="shared" si="2"/>
        <v>#DIV/0!</v>
      </c>
      <c r="S56" s="9">
        <f t="shared" si="3"/>
        <v>0</v>
      </c>
      <c r="T56" s="9">
        <f t="shared" si="4"/>
        <v>0</v>
      </c>
    </row>
    <row r="57" spans="6:20" x14ac:dyDescent="0.35">
      <c r="F57" s="2"/>
      <c r="G57" s="2"/>
      <c r="H57" s="2"/>
      <c r="I57" s="2"/>
      <c r="J57" s="2"/>
      <c r="K57" s="2"/>
      <c r="L57" s="2"/>
      <c r="M57" s="2"/>
      <c r="O57" s="1" t="str">
        <f>IF(ISNUMBER(MATCH(MID(C57,6,1),{"B","E","N","P","R"},0)),CONCATENATE(MID(D57,1,3),MID(C57,6,1),N57),"FALSE")</f>
        <v>FALSE</v>
      </c>
      <c r="P57" s="1">
        <v>1</v>
      </c>
      <c r="Q57" s="2" t="e">
        <f t="shared" si="1"/>
        <v>#DIV/0!</v>
      </c>
      <c r="R57" s="2" t="e">
        <f t="shared" si="2"/>
        <v>#DIV/0!</v>
      </c>
      <c r="S57" s="9">
        <f t="shared" si="3"/>
        <v>0</v>
      </c>
      <c r="T57" s="9">
        <f t="shared" si="4"/>
        <v>0</v>
      </c>
    </row>
    <row r="58" spans="6:20" x14ac:dyDescent="0.35">
      <c r="F58" s="2"/>
      <c r="G58" s="2"/>
      <c r="H58" s="2"/>
      <c r="I58" s="2"/>
      <c r="J58" s="2"/>
      <c r="K58" s="2"/>
      <c r="L58" s="2"/>
      <c r="M58" s="2"/>
      <c r="O58" s="1" t="str">
        <f>IF(ISNUMBER(MATCH(MID(C58,6,1),{"B","E","N","P","R"},0)),CONCATENATE(MID(D58,1,3),MID(C58,6,1),N58),"FALSE")</f>
        <v>FALSE</v>
      </c>
      <c r="P58" s="1">
        <v>1</v>
      </c>
      <c r="Q58" s="2" t="e">
        <f t="shared" si="1"/>
        <v>#DIV/0!</v>
      </c>
      <c r="R58" s="2" t="e">
        <f t="shared" si="2"/>
        <v>#DIV/0!</v>
      </c>
      <c r="S58" s="9">
        <f t="shared" si="3"/>
        <v>0</v>
      </c>
      <c r="T58" s="9">
        <f t="shared" si="4"/>
        <v>0</v>
      </c>
    </row>
    <row r="59" spans="6:20" x14ac:dyDescent="0.35">
      <c r="F59" s="2"/>
      <c r="G59" s="2"/>
      <c r="H59" s="2"/>
      <c r="I59" s="2"/>
      <c r="J59" s="2"/>
      <c r="K59" s="2"/>
      <c r="L59" s="2"/>
      <c r="M59" s="2"/>
      <c r="O59" s="1" t="str">
        <f>IF(ISNUMBER(MATCH(MID(C59,6,1),{"B","E","N","P","R"},0)),CONCATENATE(MID(D59,1,3),MID(C59,6,1),N59),"FALSE")</f>
        <v>FALSE</v>
      </c>
      <c r="P59" s="1">
        <v>1</v>
      </c>
      <c r="Q59" s="2" t="e">
        <f t="shared" si="1"/>
        <v>#DIV/0!</v>
      </c>
      <c r="R59" s="2" t="e">
        <f t="shared" si="2"/>
        <v>#DIV/0!</v>
      </c>
      <c r="S59" s="9">
        <f t="shared" si="3"/>
        <v>0</v>
      </c>
      <c r="T59" s="9">
        <f t="shared" si="4"/>
        <v>0</v>
      </c>
    </row>
    <row r="60" spans="6:20" x14ac:dyDescent="0.35">
      <c r="F60" s="2"/>
      <c r="G60" s="2"/>
      <c r="H60" s="2"/>
      <c r="I60" s="2"/>
      <c r="J60" s="2"/>
      <c r="K60" s="2"/>
      <c r="L60" s="2"/>
      <c r="M60" s="2"/>
      <c r="O60" s="1" t="str">
        <f>IF(ISNUMBER(MATCH(MID(C60,6,1),{"B","E","N","P","R"},0)),CONCATENATE(MID(D60,1,3),MID(C60,6,1),N60),"FALSE")</f>
        <v>FALSE</v>
      </c>
      <c r="P60" s="1">
        <v>1</v>
      </c>
      <c r="Q60" s="2" t="e">
        <f t="shared" si="1"/>
        <v>#DIV/0!</v>
      </c>
      <c r="R60" s="2" t="e">
        <f t="shared" si="2"/>
        <v>#DIV/0!</v>
      </c>
      <c r="S60" s="9">
        <f t="shared" si="3"/>
        <v>0</v>
      </c>
      <c r="T60" s="9">
        <f t="shared" si="4"/>
        <v>0</v>
      </c>
    </row>
    <row r="61" spans="6:20" x14ac:dyDescent="0.35">
      <c r="F61" s="2"/>
      <c r="G61" s="2"/>
      <c r="H61" s="2"/>
      <c r="I61" s="2"/>
      <c r="J61" s="2"/>
      <c r="K61" s="2"/>
      <c r="L61" s="2"/>
      <c r="M61" s="2"/>
      <c r="O61" s="1" t="str">
        <f>IF(ISNUMBER(MATCH(MID(C61,6,1),{"B","E","N","P","R"},0)),CONCATENATE(MID(D61,1,3),MID(C61,6,1),N61),"FALSE")</f>
        <v>FALSE</v>
      </c>
      <c r="P61" s="1">
        <v>1</v>
      </c>
      <c r="Q61" s="2" t="e">
        <f t="shared" si="1"/>
        <v>#DIV/0!</v>
      </c>
      <c r="R61" s="2" t="e">
        <f t="shared" si="2"/>
        <v>#DIV/0!</v>
      </c>
      <c r="S61" s="9">
        <f t="shared" si="3"/>
        <v>0</v>
      </c>
      <c r="T61" s="9">
        <f t="shared" si="4"/>
        <v>0</v>
      </c>
    </row>
    <row r="62" spans="6:20" x14ac:dyDescent="0.35">
      <c r="F62" s="2"/>
      <c r="G62" s="2"/>
      <c r="H62" s="2"/>
      <c r="I62" s="2"/>
      <c r="J62" s="2"/>
      <c r="K62" s="2"/>
      <c r="L62" s="2"/>
      <c r="M62" s="2"/>
      <c r="O62" s="1" t="str">
        <f>IF(ISNUMBER(MATCH(MID(C62,6,1),{"B","E","N","P","R"},0)),CONCATENATE(MID(D62,1,3),MID(C62,6,1),N62),"FALSE")</f>
        <v>FALSE</v>
      </c>
      <c r="P62" s="1">
        <v>1</v>
      </c>
      <c r="Q62" s="2" t="e">
        <f t="shared" si="1"/>
        <v>#DIV/0!</v>
      </c>
      <c r="R62" s="2" t="e">
        <f t="shared" si="2"/>
        <v>#DIV/0!</v>
      </c>
      <c r="S62" s="9">
        <f t="shared" si="3"/>
        <v>0</v>
      </c>
      <c r="T62" s="9">
        <f t="shared" si="4"/>
        <v>0</v>
      </c>
    </row>
    <row r="63" spans="6:20" x14ac:dyDescent="0.35">
      <c r="F63" s="2"/>
      <c r="G63" s="2"/>
      <c r="H63" s="2"/>
      <c r="I63" s="2"/>
      <c r="J63" s="2"/>
      <c r="K63" s="2"/>
      <c r="L63" s="2"/>
      <c r="M63" s="2"/>
      <c r="O63" s="1" t="str">
        <f>IF(ISNUMBER(MATCH(MID(C63,6,1),{"B","E","N","P","R"},0)),CONCATENATE(MID(D63,1,3),MID(C63,6,1),N63),"FALSE")</f>
        <v>FALSE</v>
      </c>
      <c r="P63" s="1">
        <v>1</v>
      </c>
      <c r="Q63" s="2" t="e">
        <f t="shared" si="1"/>
        <v>#DIV/0!</v>
      </c>
      <c r="R63" s="2" t="e">
        <f t="shared" si="2"/>
        <v>#DIV/0!</v>
      </c>
      <c r="S63" s="9">
        <f t="shared" si="3"/>
        <v>0</v>
      </c>
      <c r="T63" s="9">
        <f t="shared" si="4"/>
        <v>0</v>
      </c>
    </row>
    <row r="64" spans="6:20" x14ac:dyDescent="0.35">
      <c r="F64" s="2"/>
      <c r="G64" s="2"/>
      <c r="H64" s="2"/>
      <c r="I64" s="2"/>
      <c r="J64" s="2"/>
      <c r="K64" s="2"/>
      <c r="L64" s="2"/>
      <c r="M64" s="2"/>
      <c r="O64" s="1" t="str">
        <f>IF(ISNUMBER(MATCH(MID(C64,6,1),{"B","E","N","P","R"},0)),CONCATENATE(MID(D64,1,3),MID(C64,6,1),N64),"FALSE")</f>
        <v>FALSE</v>
      </c>
      <c r="P64" s="1">
        <v>1</v>
      </c>
      <c r="Q64" s="2" t="e">
        <f t="shared" si="1"/>
        <v>#DIV/0!</v>
      </c>
      <c r="R64" s="2" t="e">
        <f t="shared" si="2"/>
        <v>#DIV/0!</v>
      </c>
      <c r="S64" s="9">
        <f t="shared" si="3"/>
        <v>0</v>
      </c>
      <c r="T64" s="9">
        <f t="shared" si="4"/>
        <v>0</v>
      </c>
    </row>
    <row r="65" spans="6:20" x14ac:dyDescent="0.35">
      <c r="F65" s="2"/>
      <c r="G65" s="2"/>
      <c r="H65" s="2"/>
      <c r="I65" s="2"/>
      <c r="J65" s="2"/>
      <c r="K65" s="2"/>
      <c r="L65" s="2"/>
      <c r="M65" s="2"/>
      <c r="O65" s="1" t="str">
        <f>IF(ISNUMBER(MATCH(MID(C65,6,1),{"B","E","N","P","R"},0)),CONCATENATE(MID(D65,1,3),MID(C65,6,1),N65),"FALSE")</f>
        <v>FALSE</v>
      </c>
      <c r="P65" s="1">
        <v>1</v>
      </c>
      <c r="Q65" s="2" t="e">
        <f t="shared" si="1"/>
        <v>#DIV/0!</v>
      </c>
      <c r="R65" s="2" t="e">
        <f t="shared" si="2"/>
        <v>#DIV/0!</v>
      </c>
      <c r="S65" s="9">
        <f t="shared" si="3"/>
        <v>0</v>
      </c>
      <c r="T65" s="9">
        <f t="shared" si="4"/>
        <v>0</v>
      </c>
    </row>
    <row r="66" spans="6:20" x14ac:dyDescent="0.35">
      <c r="F66" s="2"/>
      <c r="G66" s="2"/>
      <c r="H66" s="2"/>
      <c r="I66" s="2"/>
      <c r="J66" s="2"/>
      <c r="K66" s="2"/>
      <c r="L66" s="2"/>
      <c r="M66" s="2"/>
      <c r="O66" s="1" t="str">
        <f>IF(ISNUMBER(MATCH(MID(C66,6,1),{"B","E","N","P","R"},0)),CONCATENATE(MID(D66,1,3),MID(C66,6,1),N66),"FALSE")</f>
        <v>FALSE</v>
      </c>
      <c r="P66" s="1">
        <v>1</v>
      </c>
      <c r="Q66" s="2" t="e">
        <f t="shared" si="1"/>
        <v>#DIV/0!</v>
      </c>
      <c r="R66" s="2" t="e">
        <f t="shared" si="2"/>
        <v>#DIV/0!</v>
      </c>
      <c r="S66" s="9">
        <f t="shared" si="3"/>
        <v>0</v>
      </c>
      <c r="T66" s="9">
        <f t="shared" si="4"/>
        <v>0</v>
      </c>
    </row>
    <row r="67" spans="6:20" x14ac:dyDescent="0.35">
      <c r="F67" s="2"/>
      <c r="G67" s="2"/>
      <c r="H67" s="2"/>
      <c r="I67" s="2"/>
      <c r="J67" s="2"/>
      <c r="K67" s="2"/>
      <c r="L67" s="2"/>
      <c r="M67" s="2"/>
      <c r="O67" s="1" t="str">
        <f>IF(ISNUMBER(MATCH(MID(C67,6,1),{"B","E","N","P","R"},0)),CONCATENATE(MID(D67,1,3),MID(C67,6,1),N67),"FALSE")</f>
        <v>FALSE</v>
      </c>
      <c r="P67" s="1">
        <v>1</v>
      </c>
      <c r="Q67" s="2" t="e">
        <f t="shared" si="1"/>
        <v>#DIV/0!</v>
      </c>
      <c r="R67" s="2" t="e">
        <f t="shared" si="2"/>
        <v>#DIV/0!</v>
      </c>
      <c r="S67" s="9">
        <f t="shared" si="3"/>
        <v>0</v>
      </c>
      <c r="T67" s="9">
        <f t="shared" si="4"/>
        <v>0</v>
      </c>
    </row>
    <row r="68" spans="6:20" x14ac:dyDescent="0.35">
      <c r="F68" s="2"/>
      <c r="G68" s="2"/>
      <c r="H68" s="2"/>
      <c r="I68" s="2"/>
      <c r="J68" s="2"/>
      <c r="K68" s="2"/>
      <c r="L68" s="2"/>
      <c r="M68" s="2"/>
      <c r="O68" s="1" t="str">
        <f>IF(ISNUMBER(MATCH(MID(C68,6,1),{"B","E","N","P","R"},0)),CONCATENATE(MID(D68,1,3),MID(C68,6,1),N68),"FALSE")</f>
        <v>FALSE</v>
      </c>
      <c r="P68" s="1">
        <v>1</v>
      </c>
      <c r="Q68" s="2" t="e">
        <f t="shared" ref="Q68:Q131" si="5">G68-(G68/$G$2*$Q$1)</f>
        <v>#DIV/0!</v>
      </c>
      <c r="R68" s="2" t="e">
        <f t="shared" ref="R68:R131" si="6">(K68-(G68/$G$2*$R$1))</f>
        <v>#DIV/0!</v>
      </c>
      <c r="S68" s="9">
        <f t="shared" si="3"/>
        <v>0</v>
      </c>
      <c r="T68" s="9">
        <f t="shared" si="4"/>
        <v>0</v>
      </c>
    </row>
    <row r="69" spans="6:20" x14ac:dyDescent="0.35">
      <c r="F69" s="2"/>
      <c r="G69" s="2"/>
      <c r="H69" s="2"/>
      <c r="I69" s="2"/>
      <c r="J69" s="2"/>
      <c r="K69" s="2"/>
      <c r="L69" s="2"/>
      <c r="M69" s="2"/>
      <c r="O69" s="1" t="str">
        <f>IF(ISNUMBER(MATCH(MID(C69,6,1),{"B","E","N","P","R"},0)),CONCATENATE(MID(D69,1,3),MID(C69,6,1),N69),"FALSE")</f>
        <v>FALSE</v>
      </c>
      <c r="P69" s="1">
        <v>1</v>
      </c>
      <c r="Q69" s="2" t="e">
        <f t="shared" si="5"/>
        <v>#DIV/0!</v>
      </c>
      <c r="R69" s="2" t="e">
        <f t="shared" si="6"/>
        <v>#DIV/0!</v>
      </c>
      <c r="S69" s="9">
        <f t="shared" ref="S69:S132" si="7">H69+I69+G69</f>
        <v>0</v>
      </c>
      <c r="T69" s="9">
        <f t="shared" ref="T69:T132" si="8">G69+J69</f>
        <v>0</v>
      </c>
    </row>
    <row r="70" spans="6:20" x14ac:dyDescent="0.35">
      <c r="F70" s="2"/>
      <c r="G70" s="2"/>
      <c r="H70" s="2"/>
      <c r="I70" s="2"/>
      <c r="J70" s="2"/>
      <c r="K70" s="2"/>
      <c r="L70" s="2"/>
      <c r="M70" s="2"/>
      <c r="O70" s="1" t="str">
        <f>IF(ISNUMBER(MATCH(MID(C70,8,1),{"B","E","N","P","R"},0)),CONCATENATE(MID(D70,1,3),MID(C70,8,1),N70),"FALSE")</f>
        <v>FALSE</v>
      </c>
      <c r="P70" s="1">
        <v>1</v>
      </c>
      <c r="Q70" s="2" t="e">
        <f t="shared" si="5"/>
        <v>#DIV/0!</v>
      </c>
      <c r="R70" s="2" t="e">
        <f t="shared" si="6"/>
        <v>#DIV/0!</v>
      </c>
      <c r="S70" s="9">
        <f t="shared" si="7"/>
        <v>0</v>
      </c>
      <c r="T70" s="9">
        <f t="shared" si="8"/>
        <v>0</v>
      </c>
    </row>
    <row r="71" spans="6:20" x14ac:dyDescent="0.35">
      <c r="F71" s="2"/>
      <c r="G71" s="2"/>
      <c r="H71" s="2"/>
      <c r="I71" s="2"/>
      <c r="J71" s="2"/>
      <c r="K71" s="2"/>
      <c r="L71" s="2"/>
      <c r="M71" s="2"/>
      <c r="O71" s="1" t="str">
        <f>IF(ISNUMBER(MATCH(MID(C71,8,1),{"B","E","N","P","R"},0)),CONCATENATE(MID(D71,1,3),MID(C71,8,1),N71),"FALSE")</f>
        <v>FALSE</v>
      </c>
      <c r="P71" s="1">
        <v>1</v>
      </c>
      <c r="Q71" s="2" t="e">
        <f t="shared" si="5"/>
        <v>#DIV/0!</v>
      </c>
      <c r="R71" s="2" t="e">
        <f t="shared" si="6"/>
        <v>#DIV/0!</v>
      </c>
      <c r="S71" s="9">
        <f t="shared" si="7"/>
        <v>0</v>
      </c>
      <c r="T71" s="9">
        <f t="shared" si="8"/>
        <v>0</v>
      </c>
    </row>
    <row r="72" spans="6:20" x14ac:dyDescent="0.35">
      <c r="F72" s="2"/>
      <c r="G72" s="2"/>
      <c r="H72" s="2"/>
      <c r="I72" s="2"/>
      <c r="J72" s="2"/>
      <c r="K72" s="2"/>
      <c r="L72" s="2"/>
      <c r="M72" s="2"/>
      <c r="O72" s="1" t="str">
        <f>IF(ISNUMBER(MATCH(MID(C72,8,1),{"B","E","N","P","R"},0)),CONCATENATE(MID(D72,1,3),MID(C72,8,1),N72),"FALSE")</f>
        <v>FALSE</v>
      </c>
      <c r="P72" s="1">
        <v>1</v>
      </c>
      <c r="Q72" s="2" t="e">
        <f t="shared" si="5"/>
        <v>#DIV/0!</v>
      </c>
      <c r="R72" s="2" t="e">
        <f t="shared" si="6"/>
        <v>#DIV/0!</v>
      </c>
      <c r="S72" s="9">
        <f t="shared" si="7"/>
        <v>0</v>
      </c>
      <c r="T72" s="9">
        <f t="shared" si="8"/>
        <v>0</v>
      </c>
    </row>
    <row r="73" spans="6:20" x14ac:dyDescent="0.35">
      <c r="F73" s="2"/>
      <c r="G73" s="2"/>
      <c r="H73" s="2"/>
      <c r="I73" s="2"/>
      <c r="J73" s="2"/>
      <c r="K73" s="2"/>
      <c r="L73" s="2"/>
      <c r="M73" s="2"/>
      <c r="O73" s="1" t="str">
        <f>IF(ISNUMBER(MATCH(MID(C73,7,1),{"B","E","N","P","R"},0)),CONCATENATE(MID(D73,1,3),MID(C73,7,1),N73),"FALSE")</f>
        <v>FALSE</v>
      </c>
      <c r="P73" s="1">
        <v>1</v>
      </c>
      <c r="Q73" s="2" t="e">
        <f t="shared" si="5"/>
        <v>#DIV/0!</v>
      </c>
      <c r="R73" s="2" t="e">
        <f t="shared" si="6"/>
        <v>#DIV/0!</v>
      </c>
      <c r="S73" s="9">
        <f t="shared" si="7"/>
        <v>0</v>
      </c>
      <c r="T73" s="9">
        <f t="shared" si="8"/>
        <v>0</v>
      </c>
    </row>
    <row r="74" spans="6:20" x14ac:dyDescent="0.35">
      <c r="F74" s="2"/>
      <c r="G74" s="2"/>
      <c r="H74" s="2"/>
      <c r="I74" s="2"/>
      <c r="J74" s="2"/>
      <c r="K74" s="2"/>
      <c r="L74" s="2"/>
      <c r="M74" s="2"/>
      <c r="O74" s="1" t="str">
        <f>IF(ISNUMBER(MATCH(MID(C74,7,1),{"B","E","N","P","R"},0)),CONCATENATE(MID(D74,1,3),MID(C74,7,1),N74),"FALSE")</f>
        <v>FALSE</v>
      </c>
      <c r="P74" s="1">
        <v>1</v>
      </c>
      <c r="Q74" s="2" t="e">
        <f t="shared" si="5"/>
        <v>#DIV/0!</v>
      </c>
      <c r="R74" s="2" t="e">
        <f t="shared" si="6"/>
        <v>#DIV/0!</v>
      </c>
      <c r="S74" s="9">
        <f t="shared" si="7"/>
        <v>0</v>
      </c>
      <c r="T74" s="9">
        <f t="shared" si="8"/>
        <v>0</v>
      </c>
    </row>
    <row r="75" spans="6:20" x14ac:dyDescent="0.35">
      <c r="F75" s="2"/>
      <c r="G75" s="2"/>
      <c r="H75" s="2"/>
      <c r="I75" s="2"/>
      <c r="J75" s="2"/>
      <c r="K75" s="2"/>
      <c r="L75" s="2"/>
      <c r="M75" s="2"/>
      <c r="O75" s="1" t="str">
        <f>IF(ISNUMBER(MATCH(MID(C75,7,1),{"B","E","N","P","R"},0)),CONCATENATE(MID(D75,1,3),MID(C75,7,1),N75),"FALSE")</f>
        <v>FALSE</v>
      </c>
      <c r="P75" s="1">
        <v>1</v>
      </c>
      <c r="Q75" s="2" t="e">
        <f t="shared" si="5"/>
        <v>#DIV/0!</v>
      </c>
      <c r="R75" s="2" t="e">
        <f t="shared" si="6"/>
        <v>#DIV/0!</v>
      </c>
      <c r="S75" s="9">
        <f t="shared" si="7"/>
        <v>0</v>
      </c>
      <c r="T75" s="9">
        <f t="shared" si="8"/>
        <v>0</v>
      </c>
    </row>
    <row r="76" spans="6:20" x14ac:dyDescent="0.35">
      <c r="F76" s="2"/>
      <c r="G76" s="2"/>
      <c r="H76" s="2"/>
      <c r="I76" s="2"/>
      <c r="J76" s="2"/>
      <c r="K76" s="2"/>
      <c r="L76" s="2"/>
      <c r="M76" s="2"/>
      <c r="O76" s="1" t="str">
        <f>IF(ISNUMBER(MATCH(MID(C76,7,1),{"B","E","N","P","R"},0)),CONCATENATE(MID(D76,1,3),MID(C76,7,1),N76),"FALSE")</f>
        <v>FALSE</v>
      </c>
      <c r="P76" s="1">
        <v>1</v>
      </c>
      <c r="Q76" s="2" t="e">
        <f t="shared" si="5"/>
        <v>#DIV/0!</v>
      </c>
      <c r="R76" s="2" t="e">
        <f t="shared" si="6"/>
        <v>#DIV/0!</v>
      </c>
      <c r="S76" s="9">
        <f t="shared" si="7"/>
        <v>0</v>
      </c>
      <c r="T76" s="9">
        <f t="shared" si="8"/>
        <v>0</v>
      </c>
    </row>
    <row r="77" spans="6:20" x14ac:dyDescent="0.35">
      <c r="F77" s="2"/>
      <c r="G77" s="2"/>
      <c r="H77" s="2"/>
      <c r="I77" s="2"/>
      <c r="J77" s="2"/>
      <c r="K77" s="2"/>
      <c r="L77" s="2"/>
      <c r="M77" s="2"/>
      <c r="O77" s="1" t="str">
        <f>IF(ISNUMBER(MATCH(MID(C77,7,1),{"B","E","N","P","R"},0)),CONCATENATE(MID(D77,1,3),MID(C77,7,1),N77),"FALSE")</f>
        <v>FALSE</v>
      </c>
      <c r="P77" s="1">
        <v>1</v>
      </c>
      <c r="Q77" s="2" t="e">
        <f t="shared" si="5"/>
        <v>#DIV/0!</v>
      </c>
      <c r="R77" s="2" t="e">
        <f t="shared" si="6"/>
        <v>#DIV/0!</v>
      </c>
      <c r="S77" s="9">
        <f t="shared" si="7"/>
        <v>0</v>
      </c>
      <c r="T77" s="9">
        <f t="shared" si="8"/>
        <v>0</v>
      </c>
    </row>
    <row r="78" spans="6:20" x14ac:dyDescent="0.35">
      <c r="F78" s="2"/>
      <c r="G78" s="2"/>
      <c r="H78" s="2"/>
      <c r="I78" s="2"/>
      <c r="J78" s="2"/>
      <c r="K78" s="2"/>
      <c r="L78" s="2"/>
      <c r="M78" s="2"/>
      <c r="O78" s="1" t="str">
        <f>IF(ISNUMBER(MATCH(MID(C78,7,1),{"B","E","N","P","R"},0)),CONCATENATE(MID(D78,1,3),MID(C78,7,1),N78),"FALSE")</f>
        <v>FALSE</v>
      </c>
      <c r="P78" s="1">
        <v>1</v>
      </c>
      <c r="Q78" s="2" t="e">
        <f t="shared" si="5"/>
        <v>#DIV/0!</v>
      </c>
      <c r="R78" s="2" t="e">
        <f t="shared" si="6"/>
        <v>#DIV/0!</v>
      </c>
      <c r="S78" s="9">
        <f t="shared" si="7"/>
        <v>0</v>
      </c>
      <c r="T78" s="9">
        <f t="shared" si="8"/>
        <v>0</v>
      </c>
    </row>
    <row r="79" spans="6:20" x14ac:dyDescent="0.35">
      <c r="F79" s="2"/>
      <c r="G79" s="2"/>
      <c r="H79" s="2"/>
      <c r="I79" s="2"/>
      <c r="J79" s="2"/>
      <c r="K79" s="2"/>
      <c r="L79" s="2"/>
      <c r="M79" s="2"/>
      <c r="O79" s="1" t="str">
        <f>IF(ISNUMBER(MATCH(MID(C79,7,1),{"B","E","N","P","R"},0)),CONCATENATE(MID(D79,1,3),MID(C79,7,1),N79),"FALSE")</f>
        <v>FALSE</v>
      </c>
      <c r="P79" s="1">
        <v>1</v>
      </c>
      <c r="Q79" s="2" t="e">
        <f t="shared" si="5"/>
        <v>#DIV/0!</v>
      </c>
      <c r="R79" s="2" t="e">
        <f t="shared" si="6"/>
        <v>#DIV/0!</v>
      </c>
      <c r="S79" s="9">
        <f t="shared" si="7"/>
        <v>0</v>
      </c>
      <c r="T79" s="9">
        <f t="shared" si="8"/>
        <v>0</v>
      </c>
    </row>
    <row r="80" spans="6:20" x14ac:dyDescent="0.35">
      <c r="F80" s="2"/>
      <c r="G80" s="2"/>
      <c r="H80" s="2"/>
      <c r="I80" s="2"/>
      <c r="J80" s="2"/>
      <c r="K80" s="2"/>
      <c r="L80" s="2"/>
      <c r="M80" s="2"/>
      <c r="O80" s="1" t="str">
        <f>IF(ISNUMBER(MATCH(MID(C80,7,1),{"B","E","N","P","R"},0)),CONCATENATE(MID(D80,1,3),MID(C80,7,1),N80),"FALSE")</f>
        <v>FALSE</v>
      </c>
      <c r="P80" s="1">
        <v>1</v>
      </c>
      <c r="Q80" s="2" t="e">
        <f t="shared" si="5"/>
        <v>#DIV/0!</v>
      </c>
      <c r="R80" s="2" t="e">
        <f t="shared" si="6"/>
        <v>#DIV/0!</v>
      </c>
      <c r="S80" s="9">
        <f t="shared" si="7"/>
        <v>0</v>
      </c>
      <c r="T80" s="9">
        <f t="shared" si="8"/>
        <v>0</v>
      </c>
    </row>
    <row r="81" spans="6:20" x14ac:dyDescent="0.35">
      <c r="F81" s="2"/>
      <c r="G81" s="2"/>
      <c r="H81" s="2"/>
      <c r="I81" s="2"/>
      <c r="J81" s="2"/>
      <c r="K81" s="2"/>
      <c r="L81" s="2"/>
      <c r="M81" s="2"/>
      <c r="O81" s="1" t="str">
        <f>IF(ISNUMBER(MATCH(MID(C81,6,1),{"B","E","N","P","R"},0)),CONCATENATE(MID(D81,1,3),MID(C81,6,1),N81),"FALSE")</f>
        <v>FALSE</v>
      </c>
      <c r="P81" s="1">
        <v>1</v>
      </c>
      <c r="Q81" s="2" t="e">
        <f t="shared" si="5"/>
        <v>#DIV/0!</v>
      </c>
      <c r="R81" s="2" t="e">
        <f t="shared" si="6"/>
        <v>#DIV/0!</v>
      </c>
      <c r="S81" s="9">
        <f t="shared" si="7"/>
        <v>0</v>
      </c>
      <c r="T81" s="9">
        <f t="shared" si="8"/>
        <v>0</v>
      </c>
    </row>
    <row r="82" spans="6:20" x14ac:dyDescent="0.35">
      <c r="F82" s="2"/>
      <c r="G82" s="2"/>
      <c r="H82" s="2"/>
      <c r="I82" s="2"/>
      <c r="J82" s="2"/>
      <c r="K82" s="2"/>
      <c r="L82" s="2"/>
      <c r="M82" s="2"/>
      <c r="O82" s="1" t="str">
        <f>IF(ISNUMBER(MATCH(MID(C82,7,1),{"B","E","N","P","R"},0)),CONCATENATE(MID(D82,1,3),MID(C82,7,1),N82),"FALSE")</f>
        <v>FALSE</v>
      </c>
      <c r="P82" s="1">
        <v>1</v>
      </c>
      <c r="Q82" s="2" t="e">
        <f t="shared" si="5"/>
        <v>#DIV/0!</v>
      </c>
      <c r="R82" s="2" t="e">
        <f t="shared" si="6"/>
        <v>#DIV/0!</v>
      </c>
      <c r="S82" s="9">
        <f t="shared" si="7"/>
        <v>0</v>
      </c>
      <c r="T82" s="9">
        <f t="shared" si="8"/>
        <v>0</v>
      </c>
    </row>
    <row r="83" spans="6:20" x14ac:dyDescent="0.35">
      <c r="F83" s="2"/>
      <c r="G83" s="2"/>
      <c r="H83" s="2"/>
      <c r="I83" s="2"/>
      <c r="J83" s="2"/>
      <c r="K83" s="2"/>
      <c r="L83" s="2"/>
      <c r="M83" s="2"/>
      <c r="O83" s="1" t="str">
        <f>IF(ISNUMBER(MATCH(MID(C83,7,1),{"B","E","N","P","R"},0)),CONCATENATE(MID(D83,1,3),MID(C83,7,1),N83),"FALSE")</f>
        <v>FALSE</v>
      </c>
      <c r="P83" s="1">
        <v>1</v>
      </c>
      <c r="Q83" s="2" t="e">
        <f t="shared" si="5"/>
        <v>#DIV/0!</v>
      </c>
      <c r="R83" s="2" t="e">
        <f t="shared" si="6"/>
        <v>#DIV/0!</v>
      </c>
      <c r="S83" s="9">
        <f t="shared" si="7"/>
        <v>0</v>
      </c>
      <c r="T83" s="9">
        <f t="shared" si="8"/>
        <v>0</v>
      </c>
    </row>
    <row r="84" spans="6:20" x14ac:dyDescent="0.35">
      <c r="F84" s="2"/>
      <c r="G84" s="2"/>
      <c r="H84" s="2"/>
      <c r="I84" s="2"/>
      <c r="J84" s="2"/>
      <c r="K84" s="2"/>
      <c r="L84" s="2"/>
      <c r="M84" s="2"/>
      <c r="O84" s="1" t="str">
        <f>IF(ISNUMBER(MATCH(MID(C84,7,1),{"B","E","N","P","R"},0)),CONCATENATE(MID(D84,1,3),MID(C84,7,1),N84),"FALSE")</f>
        <v>FALSE</v>
      </c>
      <c r="P84" s="1">
        <v>1</v>
      </c>
      <c r="Q84" s="2" t="e">
        <f t="shared" si="5"/>
        <v>#DIV/0!</v>
      </c>
      <c r="R84" s="2" t="e">
        <f t="shared" si="6"/>
        <v>#DIV/0!</v>
      </c>
      <c r="S84" s="9">
        <f t="shared" si="7"/>
        <v>0</v>
      </c>
      <c r="T84" s="9">
        <f t="shared" si="8"/>
        <v>0</v>
      </c>
    </row>
    <row r="85" spans="6:20" x14ac:dyDescent="0.35">
      <c r="F85" s="2"/>
      <c r="G85" s="2"/>
      <c r="H85" s="2"/>
      <c r="I85" s="2"/>
      <c r="J85" s="2"/>
      <c r="K85" s="2"/>
      <c r="L85" s="2"/>
      <c r="M85" s="2"/>
      <c r="O85" s="1" t="str">
        <f>IF(ISNUMBER(MATCH(MID(C85,7,1),{"B","E","N","P","R"},0)),CONCATENATE(MID(D85,1,3),MID(C85,7,1),N85),"FALSE")</f>
        <v>FALSE</v>
      </c>
      <c r="P85" s="1">
        <v>1</v>
      </c>
      <c r="Q85" s="2" t="e">
        <f t="shared" si="5"/>
        <v>#DIV/0!</v>
      </c>
      <c r="R85" s="2" t="e">
        <f t="shared" si="6"/>
        <v>#DIV/0!</v>
      </c>
      <c r="S85" s="9">
        <f t="shared" si="7"/>
        <v>0</v>
      </c>
      <c r="T85" s="9">
        <f t="shared" si="8"/>
        <v>0</v>
      </c>
    </row>
    <row r="86" spans="6:20" x14ac:dyDescent="0.35">
      <c r="F86" s="2"/>
      <c r="G86" s="2"/>
      <c r="H86" s="2"/>
      <c r="I86" s="2"/>
      <c r="J86" s="2"/>
      <c r="K86" s="2"/>
      <c r="L86" s="2"/>
      <c r="M86" s="2"/>
      <c r="O86" s="1" t="str">
        <f>IF(ISNUMBER(MATCH(MID(C86,7,1),{"B","E","N","P","R"},0)),CONCATENATE(MID(D86,1,3),MID(C86,7,1),N86),"FALSE")</f>
        <v>FALSE</v>
      </c>
      <c r="P86" s="1">
        <v>1</v>
      </c>
      <c r="Q86" s="2" t="e">
        <f t="shared" si="5"/>
        <v>#DIV/0!</v>
      </c>
      <c r="R86" s="2" t="e">
        <f t="shared" si="6"/>
        <v>#DIV/0!</v>
      </c>
      <c r="S86" s="9">
        <f t="shared" si="7"/>
        <v>0</v>
      </c>
      <c r="T86" s="9">
        <f t="shared" si="8"/>
        <v>0</v>
      </c>
    </row>
    <row r="87" spans="6:20" x14ac:dyDescent="0.35">
      <c r="F87" s="2"/>
      <c r="G87" s="2"/>
      <c r="H87" s="2"/>
      <c r="I87" s="2"/>
      <c r="J87" s="2"/>
      <c r="K87" s="2"/>
      <c r="L87" s="2"/>
      <c r="M87" s="2"/>
      <c r="O87" s="1" t="str">
        <f>IF(ISNUMBER(MATCH(MID(C87,7,1),{"B","E","N","P","R"},0)),CONCATENATE(MID(D87,1,3),MID(C87,7,1),N87),"FALSE")</f>
        <v>FALSE</v>
      </c>
      <c r="P87" s="1">
        <v>1</v>
      </c>
      <c r="Q87" s="2" t="e">
        <f t="shared" si="5"/>
        <v>#DIV/0!</v>
      </c>
      <c r="R87" s="2" t="e">
        <f t="shared" si="6"/>
        <v>#DIV/0!</v>
      </c>
      <c r="S87" s="9">
        <f t="shared" si="7"/>
        <v>0</v>
      </c>
      <c r="T87" s="9">
        <f t="shared" si="8"/>
        <v>0</v>
      </c>
    </row>
    <row r="88" spans="6:20" x14ac:dyDescent="0.35">
      <c r="F88" s="2"/>
      <c r="G88" s="2"/>
      <c r="H88" s="2"/>
      <c r="I88" s="2"/>
      <c r="J88" s="2"/>
      <c r="K88" s="2"/>
      <c r="L88" s="2"/>
      <c r="M88" s="2"/>
      <c r="O88" s="1" t="str">
        <f>IF(ISNUMBER(MATCH(MID(C88,7,1),{"B","E","N","P","R"},0)),CONCATENATE(MID(D88,1,3),MID(C88,7,1),N88),"FALSE")</f>
        <v>FALSE</v>
      </c>
      <c r="P88" s="1">
        <v>1</v>
      </c>
      <c r="Q88" s="2" t="e">
        <f t="shared" si="5"/>
        <v>#DIV/0!</v>
      </c>
      <c r="R88" s="2" t="e">
        <f t="shared" si="6"/>
        <v>#DIV/0!</v>
      </c>
      <c r="S88" s="9">
        <f t="shared" si="7"/>
        <v>0</v>
      </c>
      <c r="T88" s="9">
        <f t="shared" si="8"/>
        <v>0</v>
      </c>
    </row>
    <row r="89" spans="6:20" x14ac:dyDescent="0.35">
      <c r="F89" s="2"/>
      <c r="G89" s="2"/>
      <c r="H89" s="2"/>
      <c r="I89" s="2"/>
      <c r="J89" s="2"/>
      <c r="K89" s="2"/>
      <c r="L89" s="2"/>
      <c r="M89" s="2"/>
      <c r="O89" s="1" t="str">
        <f>IF(ISNUMBER(MATCH(MID(C89,6,1),{"B","E","N","P","R"},0)),CONCATENATE(MID(D89,1,3),MID(C89,6,1),N89),"FALSE")</f>
        <v>FALSE</v>
      </c>
      <c r="P89" s="1">
        <v>1</v>
      </c>
      <c r="Q89" s="2" t="e">
        <f t="shared" si="5"/>
        <v>#DIV/0!</v>
      </c>
      <c r="R89" s="2" t="e">
        <f t="shared" si="6"/>
        <v>#DIV/0!</v>
      </c>
      <c r="S89" s="9">
        <f t="shared" si="7"/>
        <v>0</v>
      </c>
      <c r="T89" s="9">
        <f t="shared" si="8"/>
        <v>0</v>
      </c>
    </row>
    <row r="90" spans="6:20" x14ac:dyDescent="0.35">
      <c r="F90" s="2"/>
      <c r="G90" s="2"/>
      <c r="H90" s="2"/>
      <c r="I90" s="2"/>
      <c r="J90" s="2"/>
      <c r="K90" s="2"/>
      <c r="L90" s="2"/>
      <c r="M90" s="2"/>
      <c r="O90" s="1" t="str">
        <f>IF(ISNUMBER(MATCH(MID(C90,7,1),{"B","E","N","P","R"},0)),CONCATENATE(MID(D90,1,3),MID(C90,7,1),N90),"FALSE")</f>
        <v>FALSE</v>
      </c>
      <c r="P90" s="1">
        <v>1</v>
      </c>
      <c r="Q90" s="2" t="e">
        <f t="shared" si="5"/>
        <v>#DIV/0!</v>
      </c>
      <c r="R90" s="2" t="e">
        <f t="shared" si="6"/>
        <v>#DIV/0!</v>
      </c>
      <c r="S90" s="9">
        <f t="shared" si="7"/>
        <v>0</v>
      </c>
      <c r="T90" s="9">
        <f t="shared" si="8"/>
        <v>0</v>
      </c>
    </row>
    <row r="91" spans="6:20" x14ac:dyDescent="0.35">
      <c r="F91" s="2"/>
      <c r="G91" s="2"/>
      <c r="H91" s="2"/>
      <c r="I91" s="2"/>
      <c r="J91" s="2"/>
      <c r="K91" s="2"/>
      <c r="L91" s="2"/>
      <c r="M91" s="2"/>
      <c r="O91" s="1" t="str">
        <f>IF(ISNUMBER(MATCH(MID(C91,7,1),{"B","E","N","P","R"},0)),CONCATENATE(MID(D91,1,3),MID(C91,7,1),N91),"FALSE")</f>
        <v>FALSE</v>
      </c>
      <c r="P91" s="1">
        <v>1</v>
      </c>
      <c r="Q91" s="2" t="e">
        <f t="shared" si="5"/>
        <v>#DIV/0!</v>
      </c>
      <c r="R91" s="2" t="e">
        <f t="shared" si="6"/>
        <v>#DIV/0!</v>
      </c>
      <c r="S91" s="9">
        <f t="shared" si="7"/>
        <v>0</v>
      </c>
      <c r="T91" s="9">
        <f t="shared" si="8"/>
        <v>0</v>
      </c>
    </row>
    <row r="92" spans="6:20" x14ac:dyDescent="0.35">
      <c r="F92" s="2"/>
      <c r="G92" s="2"/>
      <c r="H92" s="2"/>
      <c r="I92" s="2"/>
      <c r="J92" s="2"/>
      <c r="K92" s="2"/>
      <c r="L92" s="2"/>
      <c r="M92" s="2"/>
      <c r="O92" s="1" t="str">
        <f>IF(ISNUMBER(MATCH(MID(C92,6,1),{"B","E","N","P","R"},0)),CONCATENATE(MID(D92,1,3),MID(C92,6,1),N92),"FALSE")</f>
        <v>FALSE</v>
      </c>
      <c r="P92" s="1">
        <v>1</v>
      </c>
      <c r="Q92" s="2" t="e">
        <f t="shared" si="5"/>
        <v>#DIV/0!</v>
      </c>
      <c r="R92" s="2" t="e">
        <f t="shared" si="6"/>
        <v>#DIV/0!</v>
      </c>
      <c r="S92" s="9">
        <f t="shared" si="7"/>
        <v>0</v>
      </c>
      <c r="T92" s="9">
        <f t="shared" si="8"/>
        <v>0</v>
      </c>
    </row>
    <row r="93" spans="6:20" x14ac:dyDescent="0.35">
      <c r="F93" s="2"/>
      <c r="G93" s="2"/>
      <c r="H93" s="2"/>
      <c r="I93" s="2"/>
      <c r="J93" s="2"/>
      <c r="K93" s="2"/>
      <c r="L93" s="2"/>
      <c r="M93" s="2"/>
      <c r="O93" s="1" t="str">
        <f>IF(ISNUMBER(MATCH(MID(C93,6,1),{"B","E","N","P","R"},0)),CONCATENATE(MID(D93,1,3),MID(C93,6,1),N93),"FALSE")</f>
        <v>FALSE</v>
      </c>
      <c r="P93" s="1">
        <v>1</v>
      </c>
      <c r="Q93" s="2" t="e">
        <f t="shared" si="5"/>
        <v>#DIV/0!</v>
      </c>
      <c r="R93" s="2" t="e">
        <f t="shared" si="6"/>
        <v>#DIV/0!</v>
      </c>
      <c r="S93" s="9">
        <f t="shared" si="7"/>
        <v>0</v>
      </c>
      <c r="T93" s="9">
        <f t="shared" si="8"/>
        <v>0</v>
      </c>
    </row>
    <row r="94" spans="6:20" x14ac:dyDescent="0.35">
      <c r="F94" s="2"/>
      <c r="G94" s="2"/>
      <c r="H94" s="2"/>
      <c r="I94" s="2"/>
      <c r="J94" s="2"/>
      <c r="K94" s="2"/>
      <c r="L94" s="2"/>
      <c r="M94" s="2"/>
      <c r="O94" s="1" t="str">
        <f>IF(ISNUMBER(MATCH(MID(C94,7,1),{"B","E","N","P","R"},0)),CONCATENATE(MID(D94,1,3),MID(C94,7,1),N94),"FALSE")</f>
        <v>FALSE</v>
      </c>
      <c r="P94" s="1">
        <v>1</v>
      </c>
      <c r="Q94" s="2" t="e">
        <f t="shared" si="5"/>
        <v>#DIV/0!</v>
      </c>
      <c r="R94" s="2" t="e">
        <f t="shared" si="6"/>
        <v>#DIV/0!</v>
      </c>
      <c r="S94" s="9">
        <f t="shared" si="7"/>
        <v>0</v>
      </c>
      <c r="T94" s="9">
        <f t="shared" si="8"/>
        <v>0</v>
      </c>
    </row>
    <row r="95" spans="6:20" x14ac:dyDescent="0.35">
      <c r="F95" s="2"/>
      <c r="G95" s="2"/>
      <c r="H95" s="2"/>
      <c r="I95" s="2"/>
      <c r="J95" s="2"/>
      <c r="K95" s="2"/>
      <c r="L95" s="2"/>
      <c r="M95" s="2"/>
      <c r="O95" s="1" t="str">
        <f>IF(ISNUMBER(MATCH(MID(C95,7,1),{"B","E","N","P","R"},0)),CONCATENATE(MID(D95,1,3),MID(C95,7,1),N95),"FALSE")</f>
        <v>FALSE</v>
      </c>
      <c r="P95" s="1">
        <v>1</v>
      </c>
      <c r="Q95" s="2" t="e">
        <f t="shared" si="5"/>
        <v>#DIV/0!</v>
      </c>
      <c r="R95" s="2" t="e">
        <f t="shared" si="6"/>
        <v>#DIV/0!</v>
      </c>
      <c r="S95" s="9">
        <f t="shared" si="7"/>
        <v>0</v>
      </c>
      <c r="T95" s="9">
        <f t="shared" si="8"/>
        <v>0</v>
      </c>
    </row>
    <row r="96" spans="6:20" x14ac:dyDescent="0.35">
      <c r="F96" s="2"/>
      <c r="G96" s="2"/>
      <c r="H96" s="2"/>
      <c r="I96" s="2"/>
      <c r="J96" s="2"/>
      <c r="K96" s="2"/>
      <c r="L96" s="2"/>
      <c r="M96" s="2"/>
      <c r="O96" s="1" t="str">
        <f>IF(ISNUMBER(MATCH(MID(C96,6,1),{"B","E","N","P","R"},0)),CONCATENATE(MID(D96,1,3),MID(C96,6,1),N96),"FALSE")</f>
        <v>FALSE</v>
      </c>
      <c r="P96" s="1">
        <v>1</v>
      </c>
      <c r="Q96" s="2" t="e">
        <f t="shared" si="5"/>
        <v>#DIV/0!</v>
      </c>
      <c r="R96" s="2" t="e">
        <f t="shared" si="6"/>
        <v>#DIV/0!</v>
      </c>
      <c r="S96" s="9">
        <f t="shared" si="7"/>
        <v>0</v>
      </c>
      <c r="T96" s="9">
        <f t="shared" si="8"/>
        <v>0</v>
      </c>
    </row>
    <row r="97" spans="6:20" x14ac:dyDescent="0.35">
      <c r="F97" s="2"/>
      <c r="G97" s="2"/>
      <c r="H97" s="2"/>
      <c r="I97" s="2"/>
      <c r="J97" s="2"/>
      <c r="K97" s="2"/>
      <c r="L97" s="2"/>
      <c r="M97" s="2"/>
      <c r="O97" s="1" t="str">
        <f>IF(ISNUMBER(MATCH(MID(C97,6,1),{"B","E","N","P","R"},0)),CONCATENATE(MID(D97,1,3),MID(C97,6,1),N97),"FALSE")</f>
        <v>FALSE</v>
      </c>
      <c r="P97" s="1">
        <v>1</v>
      </c>
      <c r="Q97" s="2" t="e">
        <f t="shared" si="5"/>
        <v>#DIV/0!</v>
      </c>
      <c r="R97" s="2" t="e">
        <f t="shared" si="6"/>
        <v>#DIV/0!</v>
      </c>
      <c r="S97" s="9">
        <f t="shared" si="7"/>
        <v>0</v>
      </c>
      <c r="T97" s="9">
        <f t="shared" si="8"/>
        <v>0</v>
      </c>
    </row>
    <row r="98" spans="6:20" x14ac:dyDescent="0.35">
      <c r="F98" s="2"/>
      <c r="G98" s="2"/>
      <c r="H98" s="2"/>
      <c r="I98" s="2"/>
      <c r="J98" s="2"/>
      <c r="K98" s="2"/>
      <c r="L98" s="2"/>
      <c r="M98" s="2"/>
      <c r="O98" s="1" t="str">
        <f>IF(ISNUMBER(MATCH(MID(C98,6,1),{"B","E","N","P","R"},0)),CONCATENATE(MID(D98,1,3),MID(C98,6,1),N98),"FALSE")</f>
        <v>FALSE</v>
      </c>
      <c r="P98" s="1">
        <v>1</v>
      </c>
      <c r="Q98" s="2" t="e">
        <f t="shared" si="5"/>
        <v>#DIV/0!</v>
      </c>
      <c r="R98" s="2" t="e">
        <f t="shared" si="6"/>
        <v>#DIV/0!</v>
      </c>
      <c r="S98" s="9">
        <f t="shared" si="7"/>
        <v>0</v>
      </c>
      <c r="T98" s="9">
        <f t="shared" si="8"/>
        <v>0</v>
      </c>
    </row>
    <row r="99" spans="6:20" x14ac:dyDescent="0.35">
      <c r="F99" s="2"/>
      <c r="G99" s="2"/>
      <c r="H99" s="2"/>
      <c r="I99" s="2"/>
      <c r="J99" s="2"/>
      <c r="K99" s="2"/>
      <c r="L99" s="2"/>
      <c r="M99" s="2"/>
      <c r="O99" s="1" t="str">
        <f>IF(ISNUMBER(MATCH(MID(C99,7,1),{"B","E","N","P","R"},0)),CONCATENATE(MID(D99,1,3),MID(C99,7,1),N99),"FALSE")</f>
        <v>FALSE</v>
      </c>
      <c r="P99" s="1">
        <v>1</v>
      </c>
      <c r="Q99" s="2" t="e">
        <f t="shared" si="5"/>
        <v>#DIV/0!</v>
      </c>
      <c r="R99" s="2" t="e">
        <f t="shared" si="6"/>
        <v>#DIV/0!</v>
      </c>
      <c r="S99" s="9">
        <f t="shared" si="7"/>
        <v>0</v>
      </c>
      <c r="T99" s="9">
        <f t="shared" si="8"/>
        <v>0</v>
      </c>
    </row>
    <row r="100" spans="6:20" x14ac:dyDescent="0.35">
      <c r="F100" s="2"/>
      <c r="G100" s="2"/>
      <c r="H100" s="2"/>
      <c r="I100" s="2"/>
      <c r="J100" s="2"/>
      <c r="K100" s="2"/>
      <c r="L100" s="2"/>
      <c r="M100" s="2"/>
      <c r="O100" s="1" t="str">
        <f>IF(ISNUMBER(MATCH(MID(C100,6,1),{"B","E","N","P","R"},0)),CONCATENATE(MID(D100,1,3),MID(C100,6,1),N100),"FALSE")</f>
        <v>FALSE</v>
      </c>
      <c r="P100" s="1">
        <v>1</v>
      </c>
      <c r="Q100" s="2" t="e">
        <f t="shared" si="5"/>
        <v>#DIV/0!</v>
      </c>
      <c r="R100" s="2" t="e">
        <f t="shared" si="6"/>
        <v>#DIV/0!</v>
      </c>
      <c r="S100" s="9">
        <f t="shared" si="7"/>
        <v>0</v>
      </c>
      <c r="T100" s="9">
        <f t="shared" si="8"/>
        <v>0</v>
      </c>
    </row>
    <row r="101" spans="6:20" x14ac:dyDescent="0.35">
      <c r="F101" s="2"/>
      <c r="G101" s="2"/>
      <c r="H101" s="2"/>
      <c r="I101" s="2"/>
      <c r="J101" s="2"/>
      <c r="K101" s="2"/>
      <c r="L101" s="2"/>
      <c r="M101" s="2"/>
      <c r="O101" s="1" t="str">
        <f>IF(ISNUMBER(MATCH(MID(C101,6,1),{"B","E","N","P","R"},0)),CONCATENATE(MID(D101,1,3),MID(C101,6,1),N101),"FALSE")</f>
        <v>FALSE</v>
      </c>
      <c r="P101" s="1">
        <v>1</v>
      </c>
      <c r="Q101" s="2" t="e">
        <f t="shared" si="5"/>
        <v>#DIV/0!</v>
      </c>
      <c r="R101" s="2" t="e">
        <f t="shared" si="6"/>
        <v>#DIV/0!</v>
      </c>
      <c r="S101" s="9">
        <f t="shared" si="7"/>
        <v>0</v>
      </c>
      <c r="T101" s="9">
        <f t="shared" si="8"/>
        <v>0</v>
      </c>
    </row>
    <row r="102" spans="6:20" x14ac:dyDescent="0.35">
      <c r="F102" s="2"/>
      <c r="G102" s="2"/>
      <c r="H102" s="2"/>
      <c r="I102" s="2"/>
      <c r="J102" s="2"/>
      <c r="K102" s="2"/>
      <c r="L102" s="2"/>
      <c r="M102" s="2"/>
      <c r="O102" s="1" t="str">
        <f>IF(ISNUMBER(MATCH(MID(C102,7,1),{"B","E","N","P","R"},0)),CONCATENATE(MID(D102,1,3),MID(C102,7,1),N102),"FALSE")</f>
        <v>FALSE</v>
      </c>
      <c r="P102" s="1">
        <v>1</v>
      </c>
      <c r="Q102" s="2" t="e">
        <f t="shared" si="5"/>
        <v>#DIV/0!</v>
      </c>
      <c r="R102" s="2" t="e">
        <f t="shared" si="6"/>
        <v>#DIV/0!</v>
      </c>
      <c r="S102" s="9">
        <f t="shared" si="7"/>
        <v>0</v>
      </c>
      <c r="T102" s="9">
        <f t="shared" si="8"/>
        <v>0</v>
      </c>
    </row>
    <row r="103" spans="6:20" x14ac:dyDescent="0.35">
      <c r="F103" s="2"/>
      <c r="G103" s="2"/>
      <c r="H103" s="2"/>
      <c r="I103" s="2"/>
      <c r="J103" s="2"/>
      <c r="K103" s="2"/>
      <c r="L103" s="2"/>
      <c r="M103" s="2"/>
      <c r="O103" s="1" t="str">
        <f>IF(ISNUMBER(MATCH(MID(C103,7,1),{"B","E","N","P","R"},0)),CONCATENATE(MID(D103,1,3),MID(C103,7,1),N103),"FALSE")</f>
        <v>FALSE</v>
      </c>
      <c r="P103" s="1">
        <v>1</v>
      </c>
      <c r="Q103" s="2" t="e">
        <f t="shared" si="5"/>
        <v>#DIV/0!</v>
      </c>
      <c r="R103" s="2" t="e">
        <f t="shared" si="6"/>
        <v>#DIV/0!</v>
      </c>
      <c r="S103" s="9">
        <f t="shared" si="7"/>
        <v>0</v>
      </c>
      <c r="T103" s="9">
        <f t="shared" si="8"/>
        <v>0</v>
      </c>
    </row>
    <row r="104" spans="6:20" x14ac:dyDescent="0.35">
      <c r="F104" s="2"/>
      <c r="G104" s="2"/>
      <c r="H104" s="2"/>
      <c r="I104" s="2"/>
      <c r="J104" s="2"/>
      <c r="K104" s="2"/>
      <c r="L104" s="2"/>
      <c r="M104" s="2"/>
      <c r="O104" s="1" t="str">
        <f>IF(ISNUMBER(MATCH(MID(C104,7,1),{"B","E","N","P","R"},0)),CONCATENATE(MID(D104,1,3),MID(C104,7,1),N104),"FALSE")</f>
        <v>FALSE</v>
      </c>
      <c r="P104" s="1">
        <v>1</v>
      </c>
      <c r="Q104" s="2" t="e">
        <f t="shared" si="5"/>
        <v>#DIV/0!</v>
      </c>
      <c r="R104" s="2" t="e">
        <f t="shared" si="6"/>
        <v>#DIV/0!</v>
      </c>
      <c r="S104" s="9">
        <f t="shared" si="7"/>
        <v>0</v>
      </c>
      <c r="T104" s="9">
        <f t="shared" si="8"/>
        <v>0</v>
      </c>
    </row>
    <row r="105" spans="6:20" x14ac:dyDescent="0.35">
      <c r="F105" s="2"/>
      <c r="G105" s="2"/>
      <c r="H105" s="2"/>
      <c r="I105" s="2"/>
      <c r="J105" s="2"/>
      <c r="K105" s="2"/>
      <c r="L105" s="2"/>
      <c r="M105" s="2"/>
      <c r="O105" s="1" t="str">
        <f>IF(ISNUMBER(MATCH(MID(C105,7,1),{"B","E","N","P","R"},0)),CONCATENATE(MID(D105,1,3),MID(C105,7,1),N105),"FALSE")</f>
        <v>FALSE</v>
      </c>
      <c r="P105" s="1">
        <v>1</v>
      </c>
      <c r="Q105" s="2" t="e">
        <f t="shared" si="5"/>
        <v>#DIV/0!</v>
      </c>
      <c r="R105" s="2" t="e">
        <f t="shared" si="6"/>
        <v>#DIV/0!</v>
      </c>
      <c r="S105" s="9">
        <f t="shared" si="7"/>
        <v>0</v>
      </c>
      <c r="T105" s="9">
        <f t="shared" si="8"/>
        <v>0</v>
      </c>
    </row>
    <row r="106" spans="6:20" x14ac:dyDescent="0.35">
      <c r="F106" s="2"/>
      <c r="G106" s="2"/>
      <c r="H106" s="2"/>
      <c r="I106" s="2"/>
      <c r="J106" s="2"/>
      <c r="K106" s="2"/>
      <c r="L106" s="2"/>
      <c r="M106" s="2"/>
      <c r="O106" s="1" t="str">
        <f>IF(ISNUMBER(MATCH(MID(C106,7,1),{"B","E","N","P","R"},0)),CONCATENATE(MID(D106,1,3),MID(C106,7,1),N106),"FALSE")</f>
        <v>FALSE</v>
      </c>
      <c r="P106" s="1">
        <v>1</v>
      </c>
      <c r="Q106" s="2" t="e">
        <f t="shared" si="5"/>
        <v>#DIV/0!</v>
      </c>
      <c r="R106" s="2" t="e">
        <f t="shared" si="6"/>
        <v>#DIV/0!</v>
      </c>
      <c r="S106" s="9">
        <f t="shared" si="7"/>
        <v>0</v>
      </c>
      <c r="T106" s="9">
        <f t="shared" si="8"/>
        <v>0</v>
      </c>
    </row>
    <row r="107" spans="6:20" x14ac:dyDescent="0.35">
      <c r="F107" s="2"/>
      <c r="G107" s="2"/>
      <c r="H107" s="2"/>
      <c r="I107" s="2"/>
      <c r="J107" s="2"/>
      <c r="K107" s="2"/>
      <c r="L107" s="2"/>
      <c r="M107" s="2"/>
      <c r="O107" s="1" t="str">
        <f>IF(ISNUMBER(MATCH(MID(C107,7,1),{"B","E","N","P","R"},0)),CONCATENATE(MID(D107,1,3),MID(C107,7,1),N107),"FALSE")</f>
        <v>FALSE</v>
      </c>
      <c r="P107" s="1">
        <v>1</v>
      </c>
      <c r="Q107" s="2" t="e">
        <f t="shared" si="5"/>
        <v>#DIV/0!</v>
      </c>
      <c r="R107" s="2" t="e">
        <f t="shared" si="6"/>
        <v>#DIV/0!</v>
      </c>
      <c r="S107" s="9">
        <f t="shared" si="7"/>
        <v>0</v>
      </c>
      <c r="T107" s="9">
        <f t="shared" si="8"/>
        <v>0</v>
      </c>
    </row>
    <row r="108" spans="6:20" x14ac:dyDescent="0.35">
      <c r="F108" s="2"/>
      <c r="G108" s="2"/>
      <c r="H108" s="2"/>
      <c r="I108" s="2"/>
      <c r="J108" s="2"/>
      <c r="K108" s="2"/>
      <c r="L108" s="2"/>
      <c r="M108" s="2"/>
      <c r="O108" s="1" t="str">
        <f>IF(ISNUMBER(MATCH(MID(C108,6,1),{"B","E","N","P","R"},0)),CONCATENATE(MID(D108,1,3),MID(C108,6,1),N108),"FALSE")</f>
        <v>FALSE</v>
      </c>
      <c r="P108" s="1">
        <v>1</v>
      </c>
      <c r="Q108" s="2" t="e">
        <f t="shared" si="5"/>
        <v>#DIV/0!</v>
      </c>
      <c r="R108" s="2" t="e">
        <f t="shared" si="6"/>
        <v>#DIV/0!</v>
      </c>
      <c r="S108" s="9">
        <f t="shared" si="7"/>
        <v>0</v>
      </c>
      <c r="T108" s="9">
        <f t="shared" si="8"/>
        <v>0</v>
      </c>
    </row>
    <row r="109" spans="6:20" x14ac:dyDescent="0.35">
      <c r="F109" s="2"/>
      <c r="G109" s="2"/>
      <c r="H109" s="2"/>
      <c r="I109" s="2"/>
      <c r="J109" s="2"/>
      <c r="K109" s="2"/>
      <c r="L109" s="2"/>
      <c r="M109" s="2"/>
      <c r="O109" s="1" t="str">
        <f>IF(ISNUMBER(MATCH(MID(C109,6,1),{"B","E","N","P","R"},0)),CONCATENATE(MID(D109,1,3),MID(C109,6,1),N109),"FALSE")</f>
        <v>FALSE</v>
      </c>
      <c r="P109" s="1">
        <v>1</v>
      </c>
      <c r="Q109" s="2" t="e">
        <f t="shared" si="5"/>
        <v>#DIV/0!</v>
      </c>
      <c r="R109" s="2" t="e">
        <f t="shared" si="6"/>
        <v>#DIV/0!</v>
      </c>
      <c r="S109" s="9">
        <f t="shared" si="7"/>
        <v>0</v>
      </c>
      <c r="T109" s="9">
        <f t="shared" si="8"/>
        <v>0</v>
      </c>
    </row>
    <row r="110" spans="6:20" x14ac:dyDescent="0.35">
      <c r="F110" s="2"/>
      <c r="G110" s="2"/>
      <c r="H110" s="2"/>
      <c r="I110" s="2"/>
      <c r="J110" s="2"/>
      <c r="K110" s="2"/>
      <c r="L110" s="2"/>
      <c r="M110" s="2"/>
      <c r="O110" s="1" t="str">
        <f>IF(ISNUMBER(MATCH(MID(C110,6,1),{"B","E","N","P","R"},0)),CONCATENATE(MID(D110,1,3),MID(C110,6,1),N110),"FALSE")</f>
        <v>FALSE</v>
      </c>
      <c r="P110" s="1">
        <v>1</v>
      </c>
      <c r="Q110" s="2" t="e">
        <f t="shared" si="5"/>
        <v>#DIV/0!</v>
      </c>
      <c r="R110" s="2" t="e">
        <f t="shared" si="6"/>
        <v>#DIV/0!</v>
      </c>
      <c r="S110" s="9">
        <f t="shared" si="7"/>
        <v>0</v>
      </c>
      <c r="T110" s="9">
        <f t="shared" si="8"/>
        <v>0</v>
      </c>
    </row>
    <row r="111" spans="6:20" x14ac:dyDescent="0.35">
      <c r="F111" s="2"/>
      <c r="G111" s="2"/>
      <c r="H111" s="2"/>
      <c r="I111" s="2"/>
      <c r="J111" s="2"/>
      <c r="K111" s="2"/>
      <c r="L111" s="2"/>
      <c r="M111" s="2"/>
      <c r="O111" s="1" t="str">
        <f>IF(ISNUMBER(MATCH(MID(C111,6,1),{"B","E","N","P","R"},0)),CONCATENATE(MID(D111,1,3),MID(C111,6,1),N111),"FALSE")</f>
        <v>FALSE</v>
      </c>
      <c r="P111" s="1">
        <v>1</v>
      </c>
      <c r="Q111" s="2" t="e">
        <f t="shared" si="5"/>
        <v>#DIV/0!</v>
      </c>
      <c r="R111" s="2" t="e">
        <f t="shared" si="6"/>
        <v>#DIV/0!</v>
      </c>
      <c r="S111" s="9">
        <f t="shared" si="7"/>
        <v>0</v>
      </c>
      <c r="T111" s="9">
        <f t="shared" si="8"/>
        <v>0</v>
      </c>
    </row>
    <row r="112" spans="6:20" x14ac:dyDescent="0.35">
      <c r="F112" s="2"/>
      <c r="G112" s="2"/>
      <c r="H112" s="2"/>
      <c r="I112" s="2"/>
      <c r="J112" s="2"/>
      <c r="K112" s="2"/>
      <c r="L112" s="2"/>
      <c r="M112" s="2"/>
      <c r="O112" s="1" t="str">
        <f>IF(ISNUMBER(MATCH(MID(C112,6,1),{"B","E","N","P","R"},0)),CONCATENATE(MID(D112,1,3),MID(C112,6,1),N112),"FALSE")</f>
        <v>FALSE</v>
      </c>
      <c r="P112" s="1">
        <v>1</v>
      </c>
      <c r="Q112" s="2" t="e">
        <f t="shared" si="5"/>
        <v>#DIV/0!</v>
      </c>
      <c r="R112" s="2" t="e">
        <f t="shared" si="6"/>
        <v>#DIV/0!</v>
      </c>
      <c r="S112" s="9">
        <f t="shared" si="7"/>
        <v>0</v>
      </c>
      <c r="T112" s="9">
        <f t="shared" si="8"/>
        <v>0</v>
      </c>
    </row>
    <row r="113" spans="6:20" x14ac:dyDescent="0.35">
      <c r="F113" s="2"/>
      <c r="G113" s="2"/>
      <c r="H113" s="2"/>
      <c r="I113" s="2"/>
      <c r="J113" s="2"/>
      <c r="K113" s="2"/>
      <c r="L113" s="2"/>
      <c r="M113" s="2"/>
      <c r="O113" s="1" t="str">
        <f>IF(ISNUMBER(MATCH(MID(C113,6,1),{"B","E","N","P","R"},0)),CONCATENATE(MID(D113,1,3),MID(C113,6,1),N113),"FALSE")</f>
        <v>FALSE</v>
      </c>
      <c r="P113" s="1">
        <v>1</v>
      </c>
      <c r="Q113" s="2" t="e">
        <f t="shared" si="5"/>
        <v>#DIV/0!</v>
      </c>
      <c r="R113" s="2" t="e">
        <f t="shared" si="6"/>
        <v>#DIV/0!</v>
      </c>
      <c r="S113" s="9">
        <f t="shared" si="7"/>
        <v>0</v>
      </c>
      <c r="T113" s="9">
        <f t="shared" si="8"/>
        <v>0</v>
      </c>
    </row>
    <row r="114" spans="6:20" x14ac:dyDescent="0.35">
      <c r="F114" s="2"/>
      <c r="G114" s="2"/>
      <c r="H114" s="2"/>
      <c r="I114" s="2"/>
      <c r="J114" s="2"/>
      <c r="K114" s="2"/>
      <c r="L114" s="2"/>
      <c r="M114" s="2"/>
      <c r="O114" s="1" t="str">
        <f>IF(ISNUMBER(MATCH(MID(C114,6,1),{"B","E","N","P","R"},0)),CONCATENATE(MID(D114,1,3),MID(C114,6,1),N114),"FALSE")</f>
        <v>FALSE</v>
      </c>
      <c r="P114" s="1">
        <v>1</v>
      </c>
      <c r="Q114" s="2" t="e">
        <f t="shared" si="5"/>
        <v>#DIV/0!</v>
      </c>
      <c r="R114" s="2" t="e">
        <f t="shared" si="6"/>
        <v>#DIV/0!</v>
      </c>
      <c r="S114" s="9">
        <f t="shared" si="7"/>
        <v>0</v>
      </c>
      <c r="T114" s="9">
        <f t="shared" si="8"/>
        <v>0</v>
      </c>
    </row>
    <row r="115" spans="6:20" x14ac:dyDescent="0.35">
      <c r="F115" s="2"/>
      <c r="G115" s="2"/>
      <c r="H115" s="2"/>
      <c r="I115" s="2"/>
      <c r="J115" s="2"/>
      <c r="K115" s="2"/>
      <c r="L115" s="2"/>
      <c r="M115" s="2"/>
      <c r="O115" s="1" t="str">
        <f>IF(ISNUMBER(MATCH(MID(C115,6,1),{"B","E","N","P","R"},0)),CONCATENATE(MID(D115,1,3),MID(C115,6,1),N115),"FALSE")</f>
        <v>FALSE</v>
      </c>
      <c r="P115" s="1">
        <v>1</v>
      </c>
      <c r="Q115" s="2" t="e">
        <f t="shared" si="5"/>
        <v>#DIV/0!</v>
      </c>
      <c r="R115" s="2" t="e">
        <f t="shared" si="6"/>
        <v>#DIV/0!</v>
      </c>
      <c r="S115" s="9">
        <f t="shared" si="7"/>
        <v>0</v>
      </c>
      <c r="T115" s="9">
        <f t="shared" si="8"/>
        <v>0</v>
      </c>
    </row>
    <row r="116" spans="6:20" x14ac:dyDescent="0.35">
      <c r="F116" s="2"/>
      <c r="G116" s="2"/>
      <c r="H116" s="2"/>
      <c r="I116" s="2"/>
      <c r="J116" s="2"/>
      <c r="K116" s="2"/>
      <c r="L116" s="2"/>
      <c r="M116" s="2"/>
      <c r="O116" s="1" t="str">
        <f>IF(ISNUMBER(MATCH(MID(C116,6,1),{"B","E","N","P","R"},0)),CONCATENATE(MID(D116,1,3),MID(C116,6,1),N116),"FALSE")</f>
        <v>FALSE</v>
      </c>
      <c r="P116" s="1">
        <v>1</v>
      </c>
      <c r="Q116" s="2" t="e">
        <f t="shared" si="5"/>
        <v>#DIV/0!</v>
      </c>
      <c r="R116" s="2" t="e">
        <f t="shared" si="6"/>
        <v>#DIV/0!</v>
      </c>
      <c r="S116" s="9">
        <f t="shared" si="7"/>
        <v>0</v>
      </c>
      <c r="T116" s="9">
        <f t="shared" si="8"/>
        <v>0</v>
      </c>
    </row>
    <row r="117" spans="6:20" x14ac:dyDescent="0.35">
      <c r="F117" s="2"/>
      <c r="G117" s="2"/>
      <c r="H117" s="2"/>
      <c r="I117" s="2"/>
      <c r="J117" s="2"/>
      <c r="K117" s="2"/>
      <c r="L117" s="2"/>
      <c r="M117" s="2"/>
      <c r="O117" s="1" t="str">
        <f>IF(ISNUMBER(MATCH(MID(C117,6,1),{"B","E","N","P","R"},0)),CONCATENATE(MID(D117,1,3),MID(C117,6,1),N117),"FALSE")</f>
        <v>FALSE</v>
      </c>
      <c r="P117" s="1">
        <v>1</v>
      </c>
      <c r="Q117" s="2" t="e">
        <f t="shared" si="5"/>
        <v>#DIV/0!</v>
      </c>
      <c r="R117" s="2" t="e">
        <f t="shared" si="6"/>
        <v>#DIV/0!</v>
      </c>
      <c r="S117" s="9">
        <f t="shared" si="7"/>
        <v>0</v>
      </c>
      <c r="T117" s="9">
        <f t="shared" si="8"/>
        <v>0</v>
      </c>
    </row>
    <row r="118" spans="6:20" x14ac:dyDescent="0.35">
      <c r="F118" s="2"/>
      <c r="G118" s="2"/>
      <c r="H118" s="2"/>
      <c r="I118" s="2"/>
      <c r="J118" s="2"/>
      <c r="K118" s="2"/>
      <c r="L118" s="2"/>
      <c r="M118" s="2"/>
      <c r="O118" s="1" t="str">
        <f>IF(ISNUMBER(MATCH(MID(C118,6,1),{"B","E","N","P","R"},0)),CONCATENATE(MID(D118,1,3),MID(C118,6,1),N118),"FALSE")</f>
        <v>FALSE</v>
      </c>
      <c r="P118" s="1">
        <v>1</v>
      </c>
      <c r="Q118" s="2" t="e">
        <f t="shared" si="5"/>
        <v>#DIV/0!</v>
      </c>
      <c r="R118" s="2" t="e">
        <f t="shared" si="6"/>
        <v>#DIV/0!</v>
      </c>
      <c r="S118" s="9">
        <f t="shared" si="7"/>
        <v>0</v>
      </c>
      <c r="T118" s="9">
        <f t="shared" si="8"/>
        <v>0</v>
      </c>
    </row>
    <row r="119" spans="6:20" x14ac:dyDescent="0.35">
      <c r="F119" s="2"/>
      <c r="G119" s="2"/>
      <c r="H119" s="2"/>
      <c r="I119" s="2"/>
      <c r="J119" s="2"/>
      <c r="K119" s="2"/>
      <c r="L119" s="2"/>
      <c r="M119" s="2"/>
      <c r="O119" s="1" t="str">
        <f>IF(ISNUMBER(MATCH(MID(C119,6,1),{"B","E","N","P","R"},0)),CONCATENATE(MID(D119,1,3),MID(C119,6,1),N119),"FALSE")</f>
        <v>FALSE</v>
      </c>
      <c r="P119" s="1">
        <v>1</v>
      </c>
      <c r="Q119" s="2" t="e">
        <f t="shared" si="5"/>
        <v>#DIV/0!</v>
      </c>
      <c r="R119" s="2" t="e">
        <f t="shared" si="6"/>
        <v>#DIV/0!</v>
      </c>
      <c r="S119" s="9">
        <f t="shared" si="7"/>
        <v>0</v>
      </c>
      <c r="T119" s="9">
        <f t="shared" si="8"/>
        <v>0</v>
      </c>
    </row>
    <row r="120" spans="6:20" x14ac:dyDescent="0.35">
      <c r="F120" s="2"/>
      <c r="G120" s="2"/>
      <c r="H120" s="2"/>
      <c r="I120" s="2"/>
      <c r="J120" s="2"/>
      <c r="K120" s="2"/>
      <c r="L120" s="2"/>
      <c r="M120" s="2"/>
      <c r="O120" s="1" t="str">
        <f>IF(ISNUMBER(MATCH(MID(C120,6,1),{"B","E","N","P","R"},0)),CONCATENATE(MID(D120,1,3),MID(C120,6,1),N120),"FALSE")</f>
        <v>FALSE</v>
      </c>
      <c r="P120" s="1">
        <v>1</v>
      </c>
      <c r="Q120" s="2" t="e">
        <f t="shared" si="5"/>
        <v>#DIV/0!</v>
      </c>
      <c r="R120" s="2" t="e">
        <f t="shared" si="6"/>
        <v>#DIV/0!</v>
      </c>
      <c r="S120" s="9">
        <f t="shared" si="7"/>
        <v>0</v>
      </c>
      <c r="T120" s="9">
        <f t="shared" si="8"/>
        <v>0</v>
      </c>
    </row>
    <row r="121" spans="6:20" x14ac:dyDescent="0.35">
      <c r="F121" s="2"/>
      <c r="G121" s="2"/>
      <c r="H121" s="2"/>
      <c r="I121" s="2"/>
      <c r="J121" s="2"/>
      <c r="K121" s="2"/>
      <c r="L121" s="2"/>
      <c r="M121" s="2"/>
      <c r="O121" s="1" t="str">
        <f>IF(ISNUMBER(MATCH(MID(C121,6,1),{"B","E","N","P","R"},0)),CONCATENATE(MID(D121,1,3),MID(C121,6,1),N121),"FALSE")</f>
        <v>FALSE</v>
      </c>
      <c r="P121" s="1">
        <v>1</v>
      </c>
      <c r="Q121" s="2" t="e">
        <f t="shared" si="5"/>
        <v>#DIV/0!</v>
      </c>
      <c r="R121" s="2" t="e">
        <f t="shared" si="6"/>
        <v>#DIV/0!</v>
      </c>
      <c r="S121" s="9">
        <f t="shared" si="7"/>
        <v>0</v>
      </c>
      <c r="T121" s="9">
        <f t="shared" si="8"/>
        <v>0</v>
      </c>
    </row>
    <row r="122" spans="6:20" x14ac:dyDescent="0.35">
      <c r="F122" s="2"/>
      <c r="G122" s="2"/>
      <c r="H122" s="2"/>
      <c r="I122" s="2"/>
      <c r="J122" s="2"/>
      <c r="K122" s="2"/>
      <c r="L122" s="2"/>
      <c r="M122" s="2"/>
      <c r="O122" s="1" t="str">
        <f>IF(ISNUMBER(MATCH(MID(C122,6,1),{"B","E","N","P","R"},0)),CONCATENATE(MID(D122,1,3),MID(C122,6,1),N122),"FALSE")</f>
        <v>FALSE</v>
      </c>
      <c r="P122" s="1">
        <v>1</v>
      </c>
      <c r="Q122" s="2" t="e">
        <f t="shared" si="5"/>
        <v>#DIV/0!</v>
      </c>
      <c r="R122" s="2" t="e">
        <f t="shared" si="6"/>
        <v>#DIV/0!</v>
      </c>
      <c r="S122" s="9">
        <f t="shared" si="7"/>
        <v>0</v>
      </c>
      <c r="T122" s="9">
        <f t="shared" si="8"/>
        <v>0</v>
      </c>
    </row>
    <row r="123" spans="6:20" x14ac:dyDescent="0.35">
      <c r="F123" s="2"/>
      <c r="G123" s="2"/>
      <c r="H123" s="2"/>
      <c r="I123" s="2"/>
      <c r="J123" s="2"/>
      <c r="K123" s="2"/>
      <c r="L123" s="2"/>
      <c r="M123" s="2"/>
      <c r="O123" s="1" t="str">
        <f>IF(ISNUMBER(MATCH(MID(C123,6,1),{"B","E","N","P","R"},0)),CONCATENATE(MID(D123,1,3),MID(C123,6,1),N123),"FALSE")</f>
        <v>FALSE</v>
      </c>
      <c r="P123" s="1">
        <v>1</v>
      </c>
      <c r="Q123" s="2" t="e">
        <f t="shared" si="5"/>
        <v>#DIV/0!</v>
      </c>
      <c r="R123" s="2" t="e">
        <f t="shared" si="6"/>
        <v>#DIV/0!</v>
      </c>
      <c r="S123" s="9">
        <f t="shared" si="7"/>
        <v>0</v>
      </c>
      <c r="T123" s="9">
        <f t="shared" si="8"/>
        <v>0</v>
      </c>
    </row>
    <row r="124" spans="6:20" x14ac:dyDescent="0.35">
      <c r="F124" s="2"/>
      <c r="G124" s="2"/>
      <c r="H124" s="2"/>
      <c r="I124" s="2"/>
      <c r="J124" s="2"/>
      <c r="K124" s="2"/>
      <c r="L124" s="2"/>
      <c r="M124" s="2"/>
      <c r="O124" s="1" t="str">
        <f>IF(ISNUMBER(MATCH(MID(C124,6,1),{"B","E","N","P","R"},0)),CONCATENATE(MID(D124,1,3),MID(C124,6,1),N124),"FALSE")</f>
        <v>FALSE</v>
      </c>
      <c r="P124" s="1">
        <v>1</v>
      </c>
      <c r="Q124" s="2" t="e">
        <f t="shared" si="5"/>
        <v>#DIV/0!</v>
      </c>
      <c r="R124" s="2" t="e">
        <f t="shared" si="6"/>
        <v>#DIV/0!</v>
      </c>
      <c r="S124" s="9">
        <f t="shared" si="7"/>
        <v>0</v>
      </c>
      <c r="T124" s="9">
        <f t="shared" si="8"/>
        <v>0</v>
      </c>
    </row>
    <row r="125" spans="6:20" x14ac:dyDescent="0.35">
      <c r="F125" s="2"/>
      <c r="G125" s="2"/>
      <c r="H125" s="2"/>
      <c r="I125" s="2"/>
      <c r="J125" s="2"/>
      <c r="K125" s="2"/>
      <c r="L125" s="2"/>
      <c r="M125" s="2"/>
      <c r="O125" s="1" t="str">
        <f>IF(ISNUMBER(MATCH(MID(C125,6,1),{"B","E","N","P","R"},0)),CONCATENATE(MID(D125,1,3),MID(C125,6,1),N125),"FALSE")</f>
        <v>FALSE</v>
      </c>
      <c r="P125" s="1">
        <v>1</v>
      </c>
      <c r="Q125" s="2" t="e">
        <f t="shared" si="5"/>
        <v>#DIV/0!</v>
      </c>
      <c r="R125" s="2" t="e">
        <f t="shared" si="6"/>
        <v>#DIV/0!</v>
      </c>
      <c r="S125" s="9">
        <f t="shared" si="7"/>
        <v>0</v>
      </c>
      <c r="T125" s="9">
        <f t="shared" si="8"/>
        <v>0</v>
      </c>
    </row>
    <row r="126" spans="6:20" x14ac:dyDescent="0.35">
      <c r="F126" s="2"/>
      <c r="G126" s="2"/>
      <c r="H126" s="2"/>
      <c r="I126" s="2"/>
      <c r="J126" s="2"/>
      <c r="K126" s="2"/>
      <c r="L126" s="2"/>
      <c r="M126" s="2"/>
      <c r="O126" s="1" t="str">
        <f>IF(ISNUMBER(MATCH(MID(C126,6,1),{"B","E","N","P","R"},0)),CONCATENATE(MID(D126,1,3),MID(C126,6,1),N126),"FALSE")</f>
        <v>FALSE</v>
      </c>
      <c r="P126" s="1">
        <v>1</v>
      </c>
      <c r="Q126" s="2" t="e">
        <f t="shared" si="5"/>
        <v>#DIV/0!</v>
      </c>
      <c r="R126" s="2" t="e">
        <f t="shared" si="6"/>
        <v>#DIV/0!</v>
      </c>
      <c r="S126" s="9">
        <f t="shared" si="7"/>
        <v>0</v>
      </c>
      <c r="T126" s="9">
        <f t="shared" si="8"/>
        <v>0</v>
      </c>
    </row>
    <row r="127" spans="6:20" x14ac:dyDescent="0.35">
      <c r="F127" s="2"/>
      <c r="G127" s="2"/>
      <c r="H127" s="2"/>
      <c r="I127" s="2"/>
      <c r="J127" s="2"/>
      <c r="K127" s="2"/>
      <c r="L127" s="2"/>
      <c r="M127" s="2"/>
      <c r="O127" s="1" t="str">
        <f>IF(ISNUMBER(MATCH(MID(C127,6,1),{"B","E","N","P","R"},0)),CONCATENATE(MID(D127,1,3),MID(C127,6,1),N127),"FALSE")</f>
        <v>FALSE</v>
      </c>
      <c r="P127" s="1">
        <v>1</v>
      </c>
      <c r="Q127" s="2" t="e">
        <f t="shared" si="5"/>
        <v>#DIV/0!</v>
      </c>
      <c r="R127" s="2" t="e">
        <f t="shared" si="6"/>
        <v>#DIV/0!</v>
      </c>
      <c r="S127" s="9">
        <f t="shared" si="7"/>
        <v>0</v>
      </c>
      <c r="T127" s="9">
        <f t="shared" si="8"/>
        <v>0</v>
      </c>
    </row>
    <row r="128" spans="6:20" x14ac:dyDescent="0.35">
      <c r="F128" s="2"/>
      <c r="G128" s="2"/>
      <c r="H128" s="2"/>
      <c r="I128" s="2"/>
      <c r="J128" s="2"/>
      <c r="K128" s="2"/>
      <c r="L128" s="2"/>
      <c r="M128" s="2"/>
      <c r="O128" s="1" t="str">
        <f>IF(ISNUMBER(MATCH(MID(C128,7,1),{"B","E","N","P","R"},0)),CONCATENATE(MID(D128,1,3),MID(C128,7,1),N128),"FALSE")</f>
        <v>FALSE</v>
      </c>
      <c r="P128" s="1">
        <v>1</v>
      </c>
      <c r="Q128" s="2" t="e">
        <f t="shared" si="5"/>
        <v>#DIV/0!</v>
      </c>
      <c r="R128" s="2" t="e">
        <f t="shared" si="6"/>
        <v>#DIV/0!</v>
      </c>
      <c r="S128" s="9">
        <f t="shared" si="7"/>
        <v>0</v>
      </c>
      <c r="T128" s="9">
        <f t="shared" si="8"/>
        <v>0</v>
      </c>
    </row>
    <row r="129" spans="6:20" x14ac:dyDescent="0.35">
      <c r="F129" s="2"/>
      <c r="G129" s="2"/>
      <c r="H129" s="2"/>
      <c r="I129" s="2"/>
      <c r="J129" s="2"/>
      <c r="K129" s="2"/>
      <c r="L129" s="2"/>
      <c r="M129" s="2"/>
      <c r="O129" s="1" t="str">
        <f>IF(ISNUMBER(MATCH(MID(C129,7,1),{"B","E","N","P","R"},0)),CONCATENATE(MID(D129,1,3),MID(C129,7,1),N129),"FALSE")</f>
        <v>FALSE</v>
      </c>
      <c r="P129" s="1">
        <v>1</v>
      </c>
      <c r="Q129" s="2" t="e">
        <f t="shared" si="5"/>
        <v>#DIV/0!</v>
      </c>
      <c r="R129" s="2" t="e">
        <f t="shared" si="6"/>
        <v>#DIV/0!</v>
      </c>
      <c r="S129" s="9">
        <f t="shared" si="7"/>
        <v>0</v>
      </c>
      <c r="T129" s="9">
        <f t="shared" si="8"/>
        <v>0</v>
      </c>
    </row>
    <row r="130" spans="6:20" x14ac:dyDescent="0.35">
      <c r="F130" s="2"/>
      <c r="G130" s="2"/>
      <c r="H130" s="2"/>
      <c r="I130" s="2"/>
      <c r="J130" s="2"/>
      <c r="K130" s="2"/>
      <c r="L130" s="2"/>
      <c r="M130" s="2"/>
      <c r="O130" s="1" t="str">
        <f>IF(ISNUMBER(MATCH(MID(C130,6,1),{"B","E","N","P","R"},0)),CONCATENATE(MID(D130,1,3),MID(C130,6,1),N130),"FALSE")</f>
        <v>FALSE</v>
      </c>
      <c r="P130" s="1">
        <v>1</v>
      </c>
      <c r="Q130" s="2" t="e">
        <f t="shared" si="5"/>
        <v>#DIV/0!</v>
      </c>
      <c r="R130" s="2" t="e">
        <f t="shared" si="6"/>
        <v>#DIV/0!</v>
      </c>
      <c r="S130" s="9">
        <f t="shared" si="7"/>
        <v>0</v>
      </c>
      <c r="T130" s="9">
        <f t="shared" si="8"/>
        <v>0</v>
      </c>
    </row>
    <row r="131" spans="6:20" x14ac:dyDescent="0.35">
      <c r="F131" s="2"/>
      <c r="G131" s="2"/>
      <c r="H131" s="2"/>
      <c r="I131" s="2"/>
      <c r="J131" s="2"/>
      <c r="K131" s="2"/>
      <c r="L131" s="2"/>
      <c r="M131" s="2"/>
      <c r="O131" s="1" t="str">
        <f>IF(ISNUMBER(MATCH(MID(C131,6,1),{"B","E","N","P","R"},0)),CONCATENATE(MID(D131,1,3),MID(C131,6,1),N131),"FALSE")</f>
        <v>FALSE</v>
      </c>
      <c r="P131" s="1">
        <v>1</v>
      </c>
      <c r="Q131" s="2" t="e">
        <f t="shared" si="5"/>
        <v>#DIV/0!</v>
      </c>
      <c r="R131" s="2" t="e">
        <f t="shared" si="6"/>
        <v>#DIV/0!</v>
      </c>
      <c r="S131" s="9">
        <f t="shared" si="7"/>
        <v>0</v>
      </c>
      <c r="T131" s="9">
        <f t="shared" si="8"/>
        <v>0</v>
      </c>
    </row>
    <row r="132" spans="6:20" x14ac:dyDescent="0.35">
      <c r="F132" s="2"/>
      <c r="G132" s="2"/>
      <c r="H132" s="2"/>
      <c r="I132" s="2"/>
      <c r="J132" s="2"/>
      <c r="K132" s="2"/>
      <c r="L132" s="2"/>
      <c r="M132" s="2"/>
      <c r="O132" s="1" t="str">
        <f>IF(ISNUMBER(MATCH(MID(C132,7,1),{"B","E","N","P","R"},0)),CONCATENATE(MID(D132,1,3),MID(C132,7,1),N132),"FALSE")</f>
        <v>FALSE</v>
      </c>
      <c r="P132" s="1">
        <v>1</v>
      </c>
      <c r="Q132" s="2" t="e">
        <f t="shared" ref="Q132:Q152" si="9">G132-(G132/$G$2*$Q$1)</f>
        <v>#DIV/0!</v>
      </c>
      <c r="R132" s="2" t="e">
        <f t="shared" ref="R132:R152" si="10">(K132-(G132/$G$2*$R$1))</f>
        <v>#DIV/0!</v>
      </c>
      <c r="S132" s="9">
        <f t="shared" si="7"/>
        <v>0</v>
      </c>
      <c r="T132" s="9">
        <f t="shared" si="8"/>
        <v>0</v>
      </c>
    </row>
    <row r="133" spans="6:20" x14ac:dyDescent="0.35">
      <c r="F133" s="2"/>
      <c r="G133" s="2"/>
      <c r="H133" s="2"/>
      <c r="I133" s="2"/>
      <c r="J133" s="2"/>
      <c r="K133" s="2"/>
      <c r="L133" s="2"/>
      <c r="M133" s="2"/>
      <c r="O133" s="1" t="str">
        <f>IF(ISNUMBER(MATCH(MID(C133,6,1),{"B","E","N","P","R"},0)),CONCATENATE(MID(D133,1,3),MID(C133,6,1),N133),"FALSE")</f>
        <v>FALSE</v>
      </c>
      <c r="P133" s="1">
        <v>1</v>
      </c>
      <c r="Q133" s="2" t="e">
        <f t="shared" si="9"/>
        <v>#DIV/0!</v>
      </c>
      <c r="R133" s="2" t="e">
        <f t="shared" si="10"/>
        <v>#DIV/0!</v>
      </c>
      <c r="S133" s="9">
        <f t="shared" ref="S133:S152" si="11">H133+I133+G133</f>
        <v>0</v>
      </c>
      <c r="T133" s="9">
        <f t="shared" ref="T133:T152" si="12">G133+J133</f>
        <v>0</v>
      </c>
    </row>
    <row r="134" spans="6:20" x14ac:dyDescent="0.35">
      <c r="F134" s="2"/>
      <c r="G134" s="2"/>
      <c r="H134" s="2"/>
      <c r="I134" s="2"/>
      <c r="J134" s="2"/>
      <c r="K134" s="2"/>
      <c r="L134" s="2"/>
      <c r="M134" s="2"/>
      <c r="O134" s="1" t="str">
        <f>IF(ISNUMBER(MATCH(MID(C134,6,1),{"B","E","N","P","R"},0)),CONCATENATE(MID(D134,1,3),MID(C134,6,1),N134),"FALSE")</f>
        <v>FALSE</v>
      </c>
      <c r="P134" s="1">
        <v>1</v>
      </c>
      <c r="Q134" s="2" t="e">
        <f t="shared" si="9"/>
        <v>#DIV/0!</v>
      </c>
      <c r="R134" s="2" t="e">
        <f t="shared" si="10"/>
        <v>#DIV/0!</v>
      </c>
      <c r="S134" s="9">
        <f t="shared" si="11"/>
        <v>0</v>
      </c>
      <c r="T134" s="9">
        <f t="shared" si="12"/>
        <v>0</v>
      </c>
    </row>
    <row r="135" spans="6:20" x14ac:dyDescent="0.35">
      <c r="F135" s="2"/>
      <c r="G135" s="2"/>
      <c r="H135" s="2"/>
      <c r="I135" s="2"/>
      <c r="J135" s="2"/>
      <c r="K135" s="2"/>
      <c r="L135" s="2"/>
      <c r="M135" s="2"/>
      <c r="O135" s="1" t="str">
        <f>IF(ISNUMBER(MATCH(MID(C135,6,1),{"B","E","N","P","R"},0)),CONCATENATE(MID(D135,1,3),MID(C135,6,1),N135),"FALSE")</f>
        <v>FALSE</v>
      </c>
      <c r="P135" s="1">
        <v>1</v>
      </c>
      <c r="Q135" s="2" t="e">
        <f t="shared" si="9"/>
        <v>#DIV/0!</v>
      </c>
      <c r="R135" s="2" t="e">
        <f t="shared" si="10"/>
        <v>#DIV/0!</v>
      </c>
      <c r="S135" s="9">
        <f t="shared" si="11"/>
        <v>0</v>
      </c>
      <c r="T135" s="9">
        <f t="shared" si="12"/>
        <v>0</v>
      </c>
    </row>
    <row r="136" spans="6:20" x14ac:dyDescent="0.35">
      <c r="F136" s="2"/>
      <c r="G136" s="2"/>
      <c r="H136" s="2"/>
      <c r="I136" s="2"/>
      <c r="J136" s="2"/>
      <c r="K136" s="2"/>
      <c r="L136" s="2"/>
      <c r="M136" s="2"/>
      <c r="O136" s="1" t="str">
        <f>IF(ISNUMBER(MATCH(MID(C136,6,1),{"B","E","N","P","R"},0)),CONCATENATE(MID(D136,1,3),MID(C136,6,1),N136),"FALSE")</f>
        <v>FALSE</v>
      </c>
      <c r="P136" s="1">
        <v>1</v>
      </c>
      <c r="Q136" s="2" t="e">
        <f t="shared" si="9"/>
        <v>#DIV/0!</v>
      </c>
      <c r="R136" s="2" t="e">
        <f t="shared" si="10"/>
        <v>#DIV/0!</v>
      </c>
      <c r="S136" s="9">
        <f t="shared" si="11"/>
        <v>0</v>
      </c>
      <c r="T136" s="9">
        <f t="shared" si="12"/>
        <v>0</v>
      </c>
    </row>
    <row r="137" spans="6:20" x14ac:dyDescent="0.35">
      <c r="F137" s="2"/>
      <c r="G137" s="2"/>
      <c r="H137" s="2"/>
      <c r="I137" s="2"/>
      <c r="J137" s="2"/>
      <c r="K137" s="2"/>
      <c r="L137" s="2"/>
      <c r="M137" s="2"/>
      <c r="O137" s="1" t="str">
        <f>IF(ISNUMBER(MATCH(MID(C137,6,1),{"B","E","N","P","R"},0)),CONCATENATE(MID(D137,1,3),MID(C137,6,1),N137),"FALSE")</f>
        <v>FALSE</v>
      </c>
      <c r="P137" s="1">
        <v>1</v>
      </c>
      <c r="Q137" s="2" t="e">
        <f t="shared" si="9"/>
        <v>#DIV/0!</v>
      </c>
      <c r="R137" s="2" t="e">
        <f t="shared" si="10"/>
        <v>#DIV/0!</v>
      </c>
      <c r="S137" s="9">
        <f t="shared" si="11"/>
        <v>0</v>
      </c>
      <c r="T137" s="9">
        <f t="shared" si="12"/>
        <v>0</v>
      </c>
    </row>
    <row r="138" spans="6:20" x14ac:dyDescent="0.35">
      <c r="F138" s="2"/>
      <c r="G138" s="2"/>
      <c r="H138" s="2"/>
      <c r="I138" s="2"/>
      <c r="J138" s="2"/>
      <c r="K138" s="2"/>
      <c r="L138" s="2"/>
      <c r="M138" s="2"/>
      <c r="O138" s="1" t="str">
        <f>IF(ISNUMBER(MATCH(MID(C138,7,1),{"B","E","N","P","R"},0)),CONCATENATE(MID(D138,1,3),MID(C138,7,1),N138),"FALSE")</f>
        <v>FALSE</v>
      </c>
      <c r="P138" s="1">
        <v>1</v>
      </c>
      <c r="Q138" s="2" t="e">
        <f t="shared" si="9"/>
        <v>#DIV/0!</v>
      </c>
      <c r="R138" s="2" t="e">
        <f t="shared" si="10"/>
        <v>#DIV/0!</v>
      </c>
      <c r="S138" s="9">
        <f t="shared" si="11"/>
        <v>0</v>
      </c>
      <c r="T138" s="9">
        <f t="shared" si="12"/>
        <v>0</v>
      </c>
    </row>
    <row r="139" spans="6:20" x14ac:dyDescent="0.35">
      <c r="F139" s="2"/>
      <c r="G139" s="2"/>
      <c r="H139" s="2"/>
      <c r="I139" s="2"/>
      <c r="J139" s="2"/>
      <c r="K139" s="2"/>
      <c r="L139" s="2"/>
      <c r="M139" s="2"/>
      <c r="O139" s="1" t="str">
        <f>IF(ISNUMBER(MATCH(MID(C139,7,1),{"B","E","N","P","R"},0)),CONCATENATE(MID(D139,1,3),MID(C139,7,1),N139),"FALSE")</f>
        <v>FALSE</v>
      </c>
      <c r="P139" s="1">
        <v>1</v>
      </c>
      <c r="Q139" s="2" t="e">
        <f t="shared" si="9"/>
        <v>#DIV/0!</v>
      </c>
      <c r="R139" s="2" t="e">
        <f t="shared" si="10"/>
        <v>#DIV/0!</v>
      </c>
      <c r="S139" s="9">
        <f t="shared" si="11"/>
        <v>0</v>
      </c>
      <c r="T139" s="9">
        <f t="shared" si="12"/>
        <v>0</v>
      </c>
    </row>
    <row r="140" spans="6:20" x14ac:dyDescent="0.35">
      <c r="F140" s="2"/>
      <c r="G140" s="2"/>
      <c r="H140" s="2"/>
      <c r="I140" s="2"/>
      <c r="J140" s="2"/>
      <c r="K140" s="2"/>
      <c r="L140" s="2"/>
      <c r="M140" s="2"/>
      <c r="O140" s="1" t="str">
        <f>IF(ISNUMBER(MATCH(MID(C140,6,1),{"B","E","N","P","R"},0)),CONCATENATE(MID(D140,1,3),MID(C140,6,1),N140),"FALSE")</f>
        <v>FALSE</v>
      </c>
      <c r="P140" s="1">
        <v>1</v>
      </c>
      <c r="Q140" s="2" t="e">
        <f t="shared" si="9"/>
        <v>#DIV/0!</v>
      </c>
      <c r="R140" s="2" t="e">
        <f t="shared" si="10"/>
        <v>#DIV/0!</v>
      </c>
      <c r="S140" s="9">
        <f t="shared" si="11"/>
        <v>0</v>
      </c>
      <c r="T140" s="9">
        <f t="shared" si="12"/>
        <v>0</v>
      </c>
    </row>
    <row r="141" spans="6:20" x14ac:dyDescent="0.35">
      <c r="F141" s="2"/>
      <c r="G141" s="2"/>
      <c r="H141" s="2"/>
      <c r="I141" s="2"/>
      <c r="J141" s="2"/>
      <c r="K141" s="2"/>
      <c r="L141" s="2"/>
      <c r="M141" s="2"/>
      <c r="O141" s="1" t="str">
        <f>IF(ISNUMBER(MATCH(MID(C141,6,1),{"B","E","N","P","R"},0)),CONCATENATE(MID(D141,1,3),MID(C141,6,1),N141),"FALSE")</f>
        <v>FALSE</v>
      </c>
      <c r="P141" s="1">
        <v>1</v>
      </c>
      <c r="Q141" s="2" t="e">
        <f t="shared" si="9"/>
        <v>#DIV/0!</v>
      </c>
      <c r="R141" s="2" t="e">
        <f t="shared" si="10"/>
        <v>#DIV/0!</v>
      </c>
      <c r="S141" s="9">
        <f t="shared" si="11"/>
        <v>0</v>
      </c>
      <c r="T141" s="9">
        <f t="shared" si="12"/>
        <v>0</v>
      </c>
    </row>
    <row r="142" spans="6:20" x14ac:dyDescent="0.35">
      <c r="F142" s="2"/>
      <c r="G142" s="2"/>
      <c r="H142" s="2"/>
      <c r="I142" s="2"/>
      <c r="J142" s="2"/>
      <c r="K142" s="2"/>
      <c r="L142" s="2"/>
      <c r="M142" s="2"/>
      <c r="O142" s="1" t="str">
        <f>IF(ISNUMBER(MATCH(MID(C142,6,1),{"B","E","N","P","R"},0)),CONCATENATE(MID(D142,1,3),MID(C142,6,1),N142),"FALSE")</f>
        <v>FALSE</v>
      </c>
      <c r="P142" s="1">
        <v>1</v>
      </c>
      <c r="Q142" s="2" t="e">
        <f t="shared" si="9"/>
        <v>#DIV/0!</v>
      </c>
      <c r="R142" s="2" t="e">
        <f t="shared" si="10"/>
        <v>#DIV/0!</v>
      </c>
      <c r="S142" s="9">
        <f t="shared" si="11"/>
        <v>0</v>
      </c>
      <c r="T142" s="9">
        <f t="shared" si="12"/>
        <v>0</v>
      </c>
    </row>
    <row r="143" spans="6:20" x14ac:dyDescent="0.35">
      <c r="F143" s="2"/>
      <c r="G143" s="2"/>
      <c r="H143" s="2"/>
      <c r="I143" s="2"/>
      <c r="J143" s="2"/>
      <c r="K143" s="2"/>
      <c r="L143" s="2"/>
      <c r="M143" s="2"/>
      <c r="O143" s="1" t="str">
        <f>IF(ISNUMBER(MATCH(MID(C143,6,1),{"B","E","N","P","R"},0)),CONCATENATE(MID(D143,1,3),MID(C143,6,1),N143),"FALSE")</f>
        <v>FALSE</v>
      </c>
      <c r="P143" s="1">
        <v>1</v>
      </c>
      <c r="Q143" s="2" t="e">
        <f t="shared" si="9"/>
        <v>#DIV/0!</v>
      </c>
      <c r="R143" s="2" t="e">
        <f t="shared" si="10"/>
        <v>#DIV/0!</v>
      </c>
      <c r="S143" s="9">
        <f t="shared" si="11"/>
        <v>0</v>
      </c>
      <c r="T143" s="9">
        <f t="shared" si="12"/>
        <v>0</v>
      </c>
    </row>
    <row r="144" spans="6:20" x14ac:dyDescent="0.35">
      <c r="F144" s="2"/>
      <c r="G144" s="2"/>
      <c r="H144" s="2"/>
      <c r="I144" s="2"/>
      <c r="J144" s="2"/>
      <c r="K144" s="2"/>
      <c r="L144" s="2"/>
      <c r="M144" s="2"/>
      <c r="O144" s="1" t="str">
        <f>IF(ISNUMBER(MATCH(MID(C144,7,1),{"B","E","N","P","R"},0)),CONCATENATE(MID(D144,1,3),MID(C144,7,1),N144),"FALSE")</f>
        <v>FALSE</v>
      </c>
      <c r="P144" s="1">
        <v>1</v>
      </c>
      <c r="Q144" s="2" t="e">
        <f t="shared" si="9"/>
        <v>#DIV/0!</v>
      </c>
      <c r="R144" s="2" t="e">
        <f t="shared" si="10"/>
        <v>#DIV/0!</v>
      </c>
      <c r="S144" s="9">
        <f t="shared" si="11"/>
        <v>0</v>
      </c>
      <c r="T144" s="9">
        <f t="shared" si="12"/>
        <v>0</v>
      </c>
    </row>
    <row r="145" spans="6:20" x14ac:dyDescent="0.35">
      <c r="F145" s="2"/>
      <c r="G145" s="2"/>
      <c r="H145" s="2"/>
      <c r="I145" s="2"/>
      <c r="J145" s="2"/>
      <c r="K145" s="2"/>
      <c r="L145" s="2"/>
      <c r="M145" s="2"/>
      <c r="O145" s="1" t="str">
        <f>IF(ISNUMBER(MATCH(MID(C145,7,1),{"B","E","N","P","R"},0)),CONCATENATE(MID(D145,1,3),MID(C145,7,1),N145),"FALSE")</f>
        <v>FALSE</v>
      </c>
      <c r="P145" s="1">
        <v>1</v>
      </c>
      <c r="Q145" s="2" t="e">
        <f t="shared" si="9"/>
        <v>#DIV/0!</v>
      </c>
      <c r="R145" s="2" t="e">
        <f t="shared" si="10"/>
        <v>#DIV/0!</v>
      </c>
      <c r="S145" s="9">
        <f t="shared" si="11"/>
        <v>0</v>
      </c>
      <c r="T145" s="9">
        <f t="shared" si="12"/>
        <v>0</v>
      </c>
    </row>
    <row r="146" spans="6:20" x14ac:dyDescent="0.35">
      <c r="F146" s="2"/>
      <c r="G146" s="2"/>
      <c r="H146" s="2"/>
      <c r="I146" s="2"/>
      <c r="J146" s="2"/>
      <c r="K146" s="2"/>
      <c r="L146" s="2"/>
      <c r="M146" s="2"/>
      <c r="O146" s="1" t="str">
        <f>IF(ISNUMBER(MATCH(MID(C146,6,1),{"B","E","N","P","R"},0)),CONCATENATE(MID(D146,1,3),MID(C146,6,1),N146),"FALSE")</f>
        <v>FALSE</v>
      </c>
      <c r="P146" s="1">
        <v>1</v>
      </c>
      <c r="Q146" s="2" t="e">
        <f t="shared" si="9"/>
        <v>#DIV/0!</v>
      </c>
      <c r="R146" s="2" t="e">
        <f t="shared" si="10"/>
        <v>#DIV/0!</v>
      </c>
      <c r="S146" s="9">
        <f t="shared" si="11"/>
        <v>0</v>
      </c>
      <c r="T146" s="9">
        <f t="shared" si="12"/>
        <v>0</v>
      </c>
    </row>
    <row r="147" spans="6:20" x14ac:dyDescent="0.35">
      <c r="F147" s="2"/>
      <c r="G147" s="2"/>
      <c r="H147" s="2"/>
      <c r="I147" s="2"/>
      <c r="J147" s="2"/>
      <c r="K147" s="2"/>
      <c r="L147" s="2"/>
      <c r="M147" s="2"/>
      <c r="O147" s="1" t="str">
        <f>IF(ISNUMBER(MATCH(MID(C147,6,1),{"B","E","N","P","R"},0)),CONCATENATE(MID(D147,1,3),MID(C147,6,1),N147),"FALSE")</f>
        <v>FALSE</v>
      </c>
      <c r="P147" s="1">
        <v>1</v>
      </c>
      <c r="Q147" s="2" t="e">
        <f t="shared" si="9"/>
        <v>#DIV/0!</v>
      </c>
      <c r="R147" s="2" t="e">
        <f t="shared" si="10"/>
        <v>#DIV/0!</v>
      </c>
      <c r="S147" s="9">
        <f t="shared" si="11"/>
        <v>0</v>
      </c>
      <c r="T147" s="9">
        <f t="shared" si="12"/>
        <v>0</v>
      </c>
    </row>
    <row r="148" spans="6:20" x14ac:dyDescent="0.35">
      <c r="F148" s="2"/>
      <c r="G148" s="2"/>
      <c r="H148" s="2"/>
      <c r="I148" s="2"/>
      <c r="J148" s="2"/>
      <c r="K148" s="2"/>
      <c r="L148" s="2"/>
      <c r="M148" s="2"/>
      <c r="O148" s="1" t="str">
        <f>IF(ISNUMBER(MATCH(MID(C148,6,1),{"B","E","N","P","R"},0)),CONCATENATE(MID(D148,1,3),MID(C148,6,1),N148),"FALSE")</f>
        <v>FALSE</v>
      </c>
      <c r="P148" s="1">
        <v>1</v>
      </c>
      <c r="Q148" s="2" t="e">
        <f t="shared" si="9"/>
        <v>#DIV/0!</v>
      </c>
      <c r="R148" s="2" t="e">
        <f t="shared" si="10"/>
        <v>#DIV/0!</v>
      </c>
      <c r="S148" s="9">
        <f t="shared" si="11"/>
        <v>0</v>
      </c>
      <c r="T148" s="9">
        <f t="shared" si="12"/>
        <v>0</v>
      </c>
    </row>
    <row r="149" spans="6:20" x14ac:dyDescent="0.35">
      <c r="F149" s="2"/>
      <c r="G149" s="2"/>
      <c r="H149" s="2"/>
      <c r="I149" s="2"/>
      <c r="J149" s="2"/>
      <c r="K149" s="2"/>
      <c r="L149" s="2"/>
      <c r="M149" s="2"/>
      <c r="O149" s="1" t="str">
        <f>IF(ISNUMBER(MATCH(MID(C149,6,1),{"B","E","N","P","R"},0)),CONCATENATE(MID(D149,1,3),MID(C149,6,1),N149),"FALSE")</f>
        <v>FALSE</v>
      </c>
      <c r="P149" s="1">
        <v>1</v>
      </c>
      <c r="Q149" s="2" t="e">
        <f t="shared" si="9"/>
        <v>#DIV/0!</v>
      </c>
      <c r="R149" s="2" t="e">
        <f t="shared" si="10"/>
        <v>#DIV/0!</v>
      </c>
      <c r="S149" s="9">
        <f t="shared" si="11"/>
        <v>0</v>
      </c>
      <c r="T149" s="9">
        <f t="shared" si="12"/>
        <v>0</v>
      </c>
    </row>
    <row r="150" spans="6:20" x14ac:dyDescent="0.35">
      <c r="F150" s="2"/>
      <c r="G150" s="2"/>
      <c r="H150" s="2"/>
      <c r="I150" s="2"/>
      <c r="J150" s="2"/>
      <c r="K150" s="2"/>
      <c r="L150" s="2"/>
      <c r="M150" s="2"/>
      <c r="O150" s="1" t="str">
        <f>IF(ISNUMBER(MATCH(MID(C150,7,1),{"B","E","N","P","R"},0)),CONCATENATE(MID(D150,1,3),MID(C150,7,1),N150),"FALSE")</f>
        <v>FALSE</v>
      </c>
      <c r="P150" s="1">
        <v>1</v>
      </c>
      <c r="Q150" s="2" t="e">
        <f t="shared" si="9"/>
        <v>#DIV/0!</v>
      </c>
      <c r="R150" s="2" t="e">
        <f t="shared" si="10"/>
        <v>#DIV/0!</v>
      </c>
      <c r="S150" s="9">
        <f t="shared" si="11"/>
        <v>0</v>
      </c>
      <c r="T150" s="9">
        <f t="shared" si="12"/>
        <v>0</v>
      </c>
    </row>
    <row r="151" spans="6:20" x14ac:dyDescent="0.35">
      <c r="F151" s="2"/>
      <c r="G151" s="2"/>
      <c r="H151" s="2"/>
      <c r="I151" s="2"/>
      <c r="J151" s="2"/>
      <c r="K151" s="2"/>
      <c r="L151" s="2"/>
      <c r="M151" s="2"/>
      <c r="O151" s="1" t="str">
        <f>IF(ISNUMBER(MATCH(MID(C151,6,1),{"B","E","N","P","R"},0)),CONCATENATE(MID(D151,1,3),MID(C151,6,1),N151),"FALSE")</f>
        <v>FALSE</v>
      </c>
      <c r="P151" s="1">
        <v>1</v>
      </c>
      <c r="Q151" s="2" t="e">
        <f t="shared" si="9"/>
        <v>#DIV/0!</v>
      </c>
      <c r="R151" s="2" t="e">
        <f t="shared" si="10"/>
        <v>#DIV/0!</v>
      </c>
      <c r="S151" s="9">
        <f t="shared" si="11"/>
        <v>0</v>
      </c>
      <c r="T151" s="9">
        <f t="shared" si="12"/>
        <v>0</v>
      </c>
    </row>
    <row r="152" spans="6:20" x14ac:dyDescent="0.35">
      <c r="F152" s="2"/>
      <c r="G152" s="2"/>
      <c r="H152" s="2"/>
      <c r="I152" s="2"/>
      <c r="J152" s="2"/>
      <c r="K152" s="2"/>
      <c r="L152" s="2"/>
      <c r="M152" s="2"/>
      <c r="O152" s="1" t="str">
        <f>IF(ISNUMBER(MATCH(MID(C152,6,1),{"B","E","N","P","R"},0)),CONCATENATE(MID(D152,1,3),MID(C152,6,1),N152),"FALSE")</f>
        <v>FALSE</v>
      </c>
      <c r="P152" s="1">
        <v>1</v>
      </c>
      <c r="Q152" s="2" t="e">
        <f t="shared" si="9"/>
        <v>#DIV/0!</v>
      </c>
      <c r="R152" s="2" t="e">
        <f t="shared" si="10"/>
        <v>#DIV/0!</v>
      </c>
      <c r="S152" s="9">
        <f t="shared" si="11"/>
        <v>0</v>
      </c>
      <c r="T152" s="9">
        <f t="shared" si="12"/>
        <v>0</v>
      </c>
    </row>
    <row r="153" spans="6:20" x14ac:dyDescent="0.35">
      <c r="F153" s="2"/>
      <c r="G153" s="2"/>
      <c r="H153" s="2"/>
      <c r="I153" s="2"/>
      <c r="J153" s="2"/>
      <c r="K153" s="2"/>
      <c r="L153" s="2"/>
      <c r="M153" s="2"/>
      <c r="Q153" s="2"/>
      <c r="R153" s="2"/>
      <c r="S153" s="9"/>
      <c r="T153" s="9"/>
    </row>
    <row r="154" spans="6:20" x14ac:dyDescent="0.35">
      <c r="F154" s="2"/>
      <c r="G154" s="2"/>
      <c r="H154" s="2"/>
      <c r="I154" s="2"/>
      <c r="J154" s="2"/>
      <c r="K154" s="2"/>
      <c r="L154" s="2"/>
      <c r="M154" s="2"/>
      <c r="Q154" s="2"/>
      <c r="R154" s="2"/>
      <c r="S154" s="9"/>
      <c r="T154" s="9"/>
    </row>
    <row r="155" spans="6:20" x14ac:dyDescent="0.35">
      <c r="F155" s="2"/>
      <c r="G155" s="2"/>
      <c r="H155" s="2"/>
      <c r="I155" s="2"/>
      <c r="J155" s="2"/>
      <c r="K155" s="2"/>
      <c r="L155" s="2"/>
      <c r="M155" s="2"/>
      <c r="Q155" s="2"/>
      <c r="R155" s="2"/>
      <c r="S155" s="9"/>
      <c r="T155" s="9"/>
    </row>
    <row r="156" spans="6:20" x14ac:dyDescent="0.35">
      <c r="F156" s="2"/>
      <c r="G156" s="2"/>
      <c r="H156" s="2"/>
      <c r="I156" s="2"/>
      <c r="J156" s="2"/>
      <c r="K156" s="2"/>
      <c r="L156" s="2"/>
      <c r="M156" s="2"/>
      <c r="Q156" s="2"/>
      <c r="R156" s="2"/>
      <c r="S156" s="9"/>
      <c r="T156" s="9"/>
    </row>
    <row r="157" spans="6:20" x14ac:dyDescent="0.35">
      <c r="F157" s="2"/>
      <c r="G157" s="2"/>
      <c r="H157" s="2"/>
      <c r="I157" s="2"/>
      <c r="J157" s="2"/>
      <c r="K157" s="2"/>
      <c r="L157" s="2"/>
      <c r="M157" s="2"/>
      <c r="Q157" s="2"/>
      <c r="R157" s="2"/>
      <c r="S157" s="9"/>
      <c r="T157" s="9"/>
    </row>
    <row r="158" spans="6:20" x14ac:dyDescent="0.35">
      <c r="F158" s="2"/>
      <c r="G158" s="2"/>
      <c r="H158" s="2"/>
      <c r="I158" s="2"/>
      <c r="J158" s="2"/>
      <c r="K158" s="2"/>
      <c r="L158" s="2"/>
      <c r="M158" s="2"/>
      <c r="Q158" s="2"/>
      <c r="R158" s="2"/>
      <c r="S158" s="9"/>
      <c r="T158" s="9"/>
    </row>
    <row r="159" spans="6:20" x14ac:dyDescent="0.35">
      <c r="F159" s="2"/>
      <c r="G159" s="2"/>
      <c r="H159" s="2"/>
      <c r="I159" s="2"/>
      <c r="J159" s="2"/>
      <c r="K159" s="2"/>
      <c r="L159" s="2"/>
      <c r="M159" s="2"/>
      <c r="Q159" s="2"/>
      <c r="R159" s="2"/>
      <c r="S159" s="9"/>
      <c r="T159" s="9"/>
    </row>
    <row r="160" spans="6:20" x14ac:dyDescent="0.35">
      <c r="F160" s="2"/>
      <c r="G160" s="2"/>
      <c r="H160" s="2"/>
      <c r="I160" s="2"/>
      <c r="J160" s="2"/>
      <c r="K160" s="2"/>
      <c r="L160" s="2"/>
      <c r="M160" s="2"/>
      <c r="Q160" s="2"/>
      <c r="R160" s="2"/>
      <c r="S160" s="9"/>
      <c r="T160" s="9"/>
    </row>
    <row r="161" spans="6:20" x14ac:dyDescent="0.35">
      <c r="F161" s="2"/>
      <c r="G161" s="2"/>
      <c r="H161" s="2"/>
      <c r="I161" s="2"/>
      <c r="J161" s="2"/>
      <c r="K161" s="2"/>
      <c r="L161" s="2"/>
      <c r="M161" s="2"/>
      <c r="Q161" s="2"/>
      <c r="R161" s="2"/>
      <c r="S161" s="9"/>
      <c r="T161" s="9"/>
    </row>
    <row r="162" spans="6:20" x14ac:dyDescent="0.35">
      <c r="F162" s="2"/>
      <c r="G162" s="2"/>
      <c r="H162" s="2"/>
      <c r="I162" s="2"/>
      <c r="J162" s="2"/>
      <c r="K162" s="2"/>
      <c r="L162" s="2"/>
      <c r="M162" s="2"/>
      <c r="Q162" s="2"/>
      <c r="R162" s="2"/>
      <c r="S162" s="9"/>
      <c r="T162" s="9"/>
    </row>
    <row r="163" spans="6:20" x14ac:dyDescent="0.35">
      <c r="F163" s="2"/>
      <c r="G163" s="2"/>
      <c r="H163" s="2"/>
      <c r="I163" s="2"/>
      <c r="J163" s="2"/>
      <c r="K163" s="2"/>
      <c r="L163" s="2"/>
      <c r="M163" s="2"/>
      <c r="Q163" s="2"/>
      <c r="R163" s="2"/>
      <c r="S163" s="9"/>
      <c r="T163" s="9"/>
    </row>
    <row r="164" spans="6:20" x14ac:dyDescent="0.35">
      <c r="F164" s="2"/>
      <c r="G164" s="2"/>
      <c r="H164" s="2"/>
      <c r="I164" s="2"/>
      <c r="J164" s="2"/>
      <c r="K164" s="2"/>
      <c r="L164" s="2"/>
      <c r="M164" s="2"/>
      <c r="Q164" s="2"/>
      <c r="R164" s="2"/>
      <c r="S164" s="9"/>
      <c r="T164" s="9"/>
    </row>
    <row r="165" spans="6:20" x14ac:dyDescent="0.35">
      <c r="F165" s="2"/>
      <c r="G165" s="2"/>
      <c r="H165" s="2"/>
      <c r="I165" s="2"/>
      <c r="J165" s="2"/>
      <c r="K165" s="2"/>
      <c r="L165" s="2"/>
      <c r="M165" s="2"/>
      <c r="Q165" s="2"/>
      <c r="R165" s="2"/>
      <c r="S165" s="9"/>
      <c r="T165" s="9"/>
    </row>
    <row r="166" spans="6:20" x14ac:dyDescent="0.35">
      <c r="F166" s="2"/>
      <c r="G166" s="2"/>
      <c r="H166" s="2"/>
      <c r="I166" s="2"/>
      <c r="J166" s="2"/>
      <c r="K166" s="2"/>
      <c r="L166" s="2"/>
      <c r="M166" s="2"/>
      <c r="Q166" s="2"/>
      <c r="R166" s="2"/>
      <c r="S166" s="9"/>
      <c r="T166" s="9"/>
    </row>
    <row r="167" spans="6:20" x14ac:dyDescent="0.35">
      <c r="F167" s="2"/>
      <c r="G167" s="2"/>
      <c r="H167" s="2"/>
      <c r="I167" s="2"/>
      <c r="J167" s="2"/>
      <c r="K167" s="2"/>
      <c r="L167" s="2"/>
      <c r="M167" s="2"/>
      <c r="Q167" s="2"/>
      <c r="R167" s="2"/>
      <c r="S167" s="9"/>
      <c r="T167" s="9"/>
    </row>
    <row r="168" spans="6:20" x14ac:dyDescent="0.35">
      <c r="F168" s="2"/>
      <c r="G168" s="2"/>
      <c r="H168" s="2"/>
      <c r="I168" s="2"/>
      <c r="J168" s="2"/>
      <c r="K168" s="2"/>
      <c r="L168" s="2"/>
      <c r="M168" s="2"/>
      <c r="Q168" s="2"/>
      <c r="R168" s="2"/>
      <c r="S168" s="9"/>
      <c r="T168" s="9"/>
    </row>
    <row r="169" spans="6:20" x14ac:dyDescent="0.35">
      <c r="F169" s="2"/>
      <c r="G169" s="2"/>
      <c r="H169" s="2"/>
      <c r="I169" s="2"/>
      <c r="J169" s="2"/>
      <c r="K169" s="2"/>
      <c r="L169" s="2"/>
      <c r="M169" s="2"/>
      <c r="Q169" s="2"/>
      <c r="R169" s="2"/>
      <c r="S169" s="9"/>
      <c r="T169" s="9"/>
    </row>
    <row r="170" spans="6:20" x14ac:dyDescent="0.35">
      <c r="F170" s="2"/>
      <c r="G170" s="2"/>
      <c r="H170" s="2"/>
      <c r="I170" s="2"/>
      <c r="J170" s="2"/>
      <c r="K170" s="2"/>
      <c r="L170" s="2"/>
      <c r="M170" s="2"/>
      <c r="Q170" s="2"/>
      <c r="R170" s="2"/>
      <c r="S170" s="9"/>
      <c r="T170" s="9"/>
    </row>
    <row r="171" spans="6:20" x14ac:dyDescent="0.35">
      <c r="F171" s="2"/>
      <c r="G171" s="2"/>
      <c r="H171" s="2"/>
      <c r="I171" s="2"/>
      <c r="J171" s="2"/>
      <c r="K171" s="2"/>
      <c r="L171" s="2"/>
      <c r="M171" s="2"/>
      <c r="Q171" s="2"/>
      <c r="R171" s="2"/>
      <c r="S171" s="9"/>
      <c r="T171" s="9"/>
    </row>
    <row r="172" spans="6:20" x14ac:dyDescent="0.35">
      <c r="F172" s="2"/>
      <c r="G172" s="2"/>
      <c r="H172" s="2"/>
      <c r="I172" s="2"/>
      <c r="J172" s="2"/>
      <c r="K172" s="2"/>
      <c r="L172" s="2"/>
      <c r="M172" s="2"/>
      <c r="Q172" s="2"/>
      <c r="R172" s="2"/>
      <c r="S172" s="9"/>
      <c r="T172" s="9"/>
    </row>
    <row r="173" spans="6:20" x14ac:dyDescent="0.35">
      <c r="F173" s="2"/>
      <c r="G173" s="2"/>
      <c r="H173" s="2"/>
      <c r="I173" s="2"/>
      <c r="J173" s="2"/>
      <c r="K173" s="2"/>
      <c r="L173" s="2"/>
      <c r="M173" s="2"/>
      <c r="Q173" s="2"/>
      <c r="R173" s="2"/>
      <c r="S173" s="9"/>
      <c r="T173" s="9"/>
    </row>
    <row r="174" spans="6:20" x14ac:dyDescent="0.35">
      <c r="F174" s="2"/>
      <c r="G174" s="2"/>
      <c r="H174" s="2"/>
      <c r="I174" s="2"/>
      <c r="J174" s="2"/>
      <c r="K174" s="2"/>
      <c r="L174" s="2"/>
      <c r="M174" s="2"/>
      <c r="Q174" s="2"/>
      <c r="R174" s="2"/>
      <c r="S174" s="9"/>
      <c r="T174" s="9"/>
    </row>
    <row r="175" spans="6:20" x14ac:dyDescent="0.35">
      <c r="F175" s="2"/>
      <c r="G175" s="2"/>
      <c r="H175" s="2"/>
      <c r="I175" s="2"/>
      <c r="J175" s="2"/>
      <c r="K175" s="2"/>
      <c r="L175" s="2"/>
      <c r="M175" s="2"/>
      <c r="Q175" s="2"/>
      <c r="R175" s="2"/>
      <c r="S175" s="9"/>
      <c r="T175" s="9"/>
    </row>
    <row r="176" spans="6:20" x14ac:dyDescent="0.35">
      <c r="F176" s="2"/>
      <c r="G176" s="2"/>
      <c r="H176" s="2"/>
      <c r="I176" s="2"/>
      <c r="J176" s="2"/>
      <c r="K176" s="2"/>
      <c r="L176" s="2"/>
      <c r="M176" s="2"/>
      <c r="Q176" s="2"/>
      <c r="R176" s="2"/>
      <c r="S176" s="9"/>
      <c r="T176" s="9"/>
    </row>
    <row r="177" spans="6:20" x14ac:dyDescent="0.35">
      <c r="F177" s="2"/>
      <c r="G177" s="2"/>
      <c r="H177" s="2"/>
      <c r="I177" s="2"/>
      <c r="J177" s="2"/>
      <c r="K177" s="2"/>
      <c r="L177" s="2"/>
      <c r="M177" s="2"/>
      <c r="Q177" s="2"/>
      <c r="R177" s="2"/>
      <c r="S177" s="9"/>
      <c r="T177" s="9"/>
    </row>
    <row r="178" spans="6:20" x14ac:dyDescent="0.35">
      <c r="F178" s="2"/>
      <c r="G178" s="2"/>
      <c r="H178" s="2"/>
      <c r="I178" s="2"/>
      <c r="J178" s="2"/>
      <c r="K178" s="2"/>
      <c r="L178" s="2"/>
      <c r="M178" s="2"/>
      <c r="Q178" s="2"/>
      <c r="R178" s="2"/>
      <c r="S178" s="9"/>
      <c r="T178" s="9"/>
    </row>
    <row r="179" spans="6:20" x14ac:dyDescent="0.35">
      <c r="F179" s="2"/>
      <c r="G179" s="2"/>
      <c r="H179" s="2"/>
      <c r="I179" s="2"/>
      <c r="J179" s="2"/>
      <c r="K179" s="2"/>
      <c r="L179" s="2"/>
      <c r="M179" s="2"/>
      <c r="Q179" s="2"/>
      <c r="R179" s="2"/>
      <c r="S179" s="9"/>
      <c r="T179" s="9"/>
    </row>
    <row r="180" spans="6:20" x14ac:dyDescent="0.35">
      <c r="F180" s="2"/>
      <c r="G180" s="2"/>
      <c r="H180" s="2"/>
      <c r="I180" s="2"/>
      <c r="J180" s="2"/>
      <c r="K180" s="2"/>
      <c r="L180" s="2"/>
      <c r="M180" s="2"/>
      <c r="Q180" s="2"/>
      <c r="R180" s="2"/>
      <c r="S180" s="9"/>
      <c r="T180" s="9"/>
    </row>
    <row r="181" spans="6:20" x14ac:dyDescent="0.35">
      <c r="F181" s="2"/>
      <c r="G181" s="2"/>
      <c r="H181" s="2"/>
      <c r="I181" s="2"/>
      <c r="J181" s="2"/>
      <c r="K181" s="2"/>
      <c r="L181" s="2"/>
      <c r="M181" s="2"/>
      <c r="Q181" s="2"/>
      <c r="R181" s="2"/>
      <c r="S181" s="9"/>
      <c r="T181" s="9"/>
    </row>
    <row r="182" spans="6:20" x14ac:dyDescent="0.35">
      <c r="F182" s="2"/>
      <c r="G182" s="2"/>
      <c r="H182" s="2"/>
      <c r="I182" s="2"/>
      <c r="J182" s="2"/>
      <c r="K182" s="2"/>
      <c r="L182" s="2"/>
      <c r="M182" s="2"/>
      <c r="Q182" s="2"/>
      <c r="R182" s="2"/>
      <c r="S182" s="9"/>
      <c r="T182" s="9"/>
    </row>
    <row r="183" spans="6:20" x14ac:dyDescent="0.35">
      <c r="F183" s="2"/>
      <c r="G183" s="2"/>
      <c r="H183" s="2"/>
      <c r="I183" s="2"/>
      <c r="J183" s="2"/>
      <c r="K183" s="2"/>
      <c r="L183" s="2"/>
      <c r="M183" s="2"/>
      <c r="Q183" s="2"/>
      <c r="R183" s="2"/>
      <c r="S183" s="9"/>
      <c r="T183" s="9"/>
    </row>
    <row r="184" spans="6:20" x14ac:dyDescent="0.35">
      <c r="F184" s="2"/>
      <c r="G184" s="2"/>
      <c r="H184" s="2"/>
      <c r="I184" s="2"/>
      <c r="J184" s="2"/>
      <c r="K184" s="2"/>
      <c r="L184" s="2"/>
      <c r="M184" s="2"/>
      <c r="Q184" s="2"/>
      <c r="R184" s="2"/>
      <c r="S184" s="9"/>
      <c r="T184" s="9"/>
    </row>
    <row r="185" spans="6:20" x14ac:dyDescent="0.35">
      <c r="F185" s="2"/>
      <c r="G185" s="2"/>
      <c r="H185" s="2"/>
      <c r="I185" s="2"/>
      <c r="J185" s="2"/>
      <c r="K185" s="2"/>
      <c r="L185" s="2"/>
      <c r="M185" s="2"/>
      <c r="Q185" s="2"/>
      <c r="R185" s="2"/>
      <c r="S185" s="9"/>
      <c r="T185" s="9"/>
    </row>
    <row r="186" spans="6:20" x14ac:dyDescent="0.35">
      <c r="F186" s="2"/>
      <c r="G186" s="2"/>
      <c r="H186" s="2"/>
      <c r="I186" s="2"/>
      <c r="J186" s="2"/>
      <c r="K186" s="2"/>
      <c r="L186" s="2"/>
      <c r="M186" s="2"/>
      <c r="Q186" s="2"/>
      <c r="R186" s="2"/>
      <c r="S186" s="9"/>
      <c r="T186" s="9"/>
    </row>
    <row r="187" spans="6:20" x14ac:dyDescent="0.35">
      <c r="F187" s="2"/>
      <c r="G187" s="2"/>
      <c r="H187" s="2"/>
      <c r="I187" s="2"/>
      <c r="J187" s="2"/>
      <c r="K187" s="2"/>
      <c r="L187" s="2"/>
      <c r="M187" s="2"/>
      <c r="Q187" s="2"/>
      <c r="R187" s="2"/>
      <c r="S187" s="9"/>
      <c r="T187" s="9"/>
    </row>
    <row r="188" spans="6:20" x14ac:dyDescent="0.35">
      <c r="F188" s="2"/>
      <c r="G188" s="2"/>
      <c r="H188" s="2"/>
      <c r="I188" s="2"/>
      <c r="J188" s="2"/>
      <c r="K188" s="2"/>
      <c r="L188" s="2"/>
      <c r="M188" s="2"/>
      <c r="Q188" s="2"/>
      <c r="R188" s="2"/>
      <c r="S188" s="9"/>
      <c r="T188" s="9"/>
    </row>
    <row r="189" spans="6:20" x14ac:dyDescent="0.35">
      <c r="F189" s="2"/>
      <c r="G189" s="2"/>
      <c r="H189" s="2"/>
      <c r="I189" s="2"/>
      <c r="J189" s="2"/>
      <c r="K189" s="2"/>
      <c r="L189" s="2"/>
      <c r="M189" s="2"/>
      <c r="Q189" s="2"/>
      <c r="R189" s="2"/>
      <c r="S189" s="9"/>
      <c r="T189" s="9"/>
    </row>
    <row r="190" spans="6:20" x14ac:dyDescent="0.35">
      <c r="F190" s="2"/>
      <c r="G190" s="2"/>
      <c r="H190" s="2"/>
      <c r="I190" s="2"/>
      <c r="J190" s="2"/>
      <c r="K190" s="2"/>
      <c r="L190" s="2"/>
      <c r="M190" s="2"/>
      <c r="Q190" s="2"/>
      <c r="R190" s="2"/>
      <c r="S190" s="9"/>
      <c r="T190" s="9"/>
    </row>
    <row r="191" spans="6:20" x14ac:dyDescent="0.35">
      <c r="F191" s="2"/>
      <c r="G191" s="2"/>
      <c r="H191" s="2"/>
      <c r="I191" s="2"/>
      <c r="J191" s="2"/>
      <c r="K191" s="2"/>
      <c r="L191" s="2"/>
      <c r="M191" s="2"/>
      <c r="Q191" s="2"/>
      <c r="R191" s="2"/>
      <c r="S191" s="9"/>
      <c r="T191" s="9"/>
    </row>
    <row r="192" spans="6:20" x14ac:dyDescent="0.35">
      <c r="F192" s="2"/>
      <c r="G192" s="2"/>
      <c r="H192" s="2"/>
      <c r="I192" s="2"/>
      <c r="J192" s="2"/>
      <c r="K192" s="2"/>
      <c r="L192" s="2"/>
      <c r="M192" s="2"/>
      <c r="Q192" s="2"/>
      <c r="R192" s="2"/>
      <c r="S192" s="9"/>
      <c r="T192" s="9"/>
    </row>
    <row r="193" spans="6:20" x14ac:dyDescent="0.35">
      <c r="F193" s="2"/>
      <c r="G193" s="2"/>
      <c r="H193" s="2"/>
      <c r="I193" s="2"/>
      <c r="J193" s="2"/>
      <c r="K193" s="2"/>
      <c r="L193" s="2"/>
      <c r="M193" s="2"/>
      <c r="Q193" s="2"/>
      <c r="R193" s="2"/>
      <c r="S193" s="9"/>
      <c r="T193" s="9"/>
    </row>
    <row r="194" spans="6:20" x14ac:dyDescent="0.35">
      <c r="F194" s="2"/>
      <c r="G194" s="2"/>
      <c r="H194" s="2"/>
      <c r="I194" s="2"/>
      <c r="J194" s="2"/>
      <c r="K194" s="2"/>
      <c r="L194" s="2"/>
      <c r="M194" s="2"/>
      <c r="Q194" s="2"/>
      <c r="R194" s="2"/>
      <c r="S194" s="9"/>
      <c r="T194" s="9"/>
    </row>
    <row r="195" spans="6:20" x14ac:dyDescent="0.35">
      <c r="F195" s="2"/>
      <c r="G195" s="2"/>
      <c r="H195" s="2"/>
      <c r="I195" s="2"/>
      <c r="J195" s="2"/>
      <c r="K195" s="2"/>
      <c r="L195" s="2"/>
      <c r="M195" s="2"/>
      <c r="Q195" s="2"/>
      <c r="R195" s="2"/>
      <c r="S195" s="9"/>
      <c r="T195" s="9"/>
    </row>
    <row r="196" spans="6:20" x14ac:dyDescent="0.35">
      <c r="F196" s="2"/>
      <c r="G196" s="2"/>
      <c r="H196" s="2"/>
      <c r="I196" s="2"/>
      <c r="J196" s="2"/>
      <c r="K196" s="2"/>
      <c r="L196" s="2"/>
      <c r="M196" s="2"/>
      <c r="Q196" s="2"/>
      <c r="R196" s="2"/>
      <c r="S196" s="9"/>
      <c r="T196" s="9"/>
    </row>
    <row r="197" spans="6:20" x14ac:dyDescent="0.35">
      <c r="F197" s="2"/>
      <c r="G197" s="2"/>
      <c r="H197" s="2"/>
      <c r="I197" s="2"/>
      <c r="J197" s="2"/>
      <c r="K197" s="2"/>
      <c r="L197" s="2"/>
      <c r="M197" s="2"/>
      <c r="Q197" s="2"/>
      <c r="R197" s="2"/>
      <c r="S197" s="9"/>
      <c r="T197" s="9"/>
    </row>
    <row r="198" spans="6:20" x14ac:dyDescent="0.35">
      <c r="F198" s="2"/>
      <c r="G198" s="2"/>
      <c r="H198" s="2"/>
      <c r="I198" s="2"/>
      <c r="J198" s="2"/>
      <c r="K198" s="2"/>
      <c r="L198" s="2"/>
      <c r="M198" s="2"/>
      <c r="Q198" s="2"/>
      <c r="R198" s="2"/>
      <c r="S198" s="9"/>
      <c r="T198" s="9"/>
    </row>
    <row r="199" spans="6:20" x14ac:dyDescent="0.35">
      <c r="F199" s="2"/>
      <c r="G199" s="2"/>
      <c r="H199" s="2"/>
      <c r="I199" s="2"/>
      <c r="J199" s="2"/>
      <c r="K199" s="2"/>
      <c r="L199" s="2"/>
      <c r="M199" s="2"/>
      <c r="Q199" s="2"/>
      <c r="R199" s="2"/>
      <c r="S199" s="9"/>
      <c r="T199" s="9"/>
    </row>
    <row r="200" spans="6:20" x14ac:dyDescent="0.35">
      <c r="F200" s="2"/>
      <c r="G200" s="2"/>
      <c r="H200" s="2"/>
      <c r="I200" s="2"/>
      <c r="J200" s="2"/>
      <c r="K200" s="2"/>
      <c r="L200" s="2"/>
      <c r="M200" s="2"/>
      <c r="Q200" s="2"/>
      <c r="R200" s="2"/>
      <c r="S200" s="9"/>
      <c r="T200" s="9"/>
    </row>
    <row r="201" spans="6:20" x14ac:dyDescent="0.35">
      <c r="F201" s="2"/>
      <c r="G201" s="2"/>
      <c r="H201" s="2"/>
      <c r="I201" s="2"/>
      <c r="J201" s="2"/>
      <c r="K201" s="2"/>
      <c r="L201" s="2"/>
      <c r="M201" s="2"/>
      <c r="Q201" s="2"/>
      <c r="R201" s="2"/>
      <c r="S201" s="9"/>
      <c r="T201" s="9"/>
    </row>
    <row r="202" spans="6:20" x14ac:dyDescent="0.35">
      <c r="F202" s="2"/>
      <c r="G202" s="2"/>
      <c r="H202" s="2"/>
      <c r="I202" s="2"/>
      <c r="J202" s="2"/>
      <c r="K202" s="2"/>
      <c r="L202" s="2"/>
      <c r="M202" s="2"/>
      <c r="Q202" s="2"/>
      <c r="R202" s="2"/>
      <c r="S202" s="9"/>
      <c r="T202" s="9"/>
    </row>
    <row r="203" spans="6:20" x14ac:dyDescent="0.35">
      <c r="F203" s="2"/>
      <c r="G203" s="2"/>
      <c r="H203" s="2"/>
      <c r="I203" s="2"/>
      <c r="J203" s="2"/>
      <c r="K203" s="2"/>
      <c r="L203" s="2"/>
      <c r="M203" s="2"/>
      <c r="Q203" s="2"/>
      <c r="R203" s="2"/>
      <c r="S203" s="9"/>
      <c r="T203" s="9"/>
    </row>
    <row r="204" spans="6:20" x14ac:dyDescent="0.35">
      <c r="F204" s="2"/>
      <c r="G204" s="2"/>
      <c r="H204" s="2"/>
      <c r="I204" s="2"/>
      <c r="J204" s="2"/>
      <c r="K204" s="2"/>
      <c r="L204" s="2"/>
      <c r="M204" s="2"/>
      <c r="Q204" s="2"/>
      <c r="R204" s="2"/>
      <c r="S204" s="9"/>
      <c r="T204" s="9"/>
    </row>
    <row r="205" spans="6:20" x14ac:dyDescent="0.35">
      <c r="F205" s="2"/>
      <c r="G205" s="2"/>
      <c r="H205" s="2"/>
      <c r="I205" s="2"/>
      <c r="J205" s="2"/>
      <c r="K205" s="2"/>
      <c r="L205" s="2"/>
      <c r="M205" s="2"/>
      <c r="Q205" s="2"/>
      <c r="R205" s="2"/>
      <c r="S205" s="9"/>
      <c r="T205" s="9"/>
    </row>
    <row r="206" spans="6:20" x14ac:dyDescent="0.35">
      <c r="F206" s="2"/>
      <c r="G206" s="2"/>
      <c r="H206" s="2"/>
      <c r="I206" s="2"/>
      <c r="J206" s="2"/>
      <c r="K206" s="2"/>
      <c r="L206" s="2"/>
      <c r="M206" s="2"/>
      <c r="Q206" s="2"/>
      <c r="R206" s="2"/>
      <c r="S206" s="9"/>
      <c r="T206" s="9"/>
    </row>
    <row r="207" spans="6:20" x14ac:dyDescent="0.35">
      <c r="F207" s="2"/>
      <c r="G207" s="2"/>
      <c r="H207" s="2"/>
      <c r="I207" s="2"/>
      <c r="J207" s="2"/>
      <c r="K207" s="2"/>
      <c r="L207" s="2"/>
      <c r="M207" s="2"/>
      <c r="Q207" s="2"/>
      <c r="R207" s="2"/>
      <c r="S207" s="9"/>
      <c r="T207" s="9"/>
    </row>
    <row r="208" spans="6:20" x14ac:dyDescent="0.35">
      <c r="F208" s="2"/>
      <c r="G208" s="2"/>
      <c r="H208" s="2"/>
      <c r="I208" s="2"/>
      <c r="J208" s="2"/>
      <c r="K208" s="2"/>
      <c r="L208" s="2"/>
      <c r="M208" s="2"/>
      <c r="Q208" s="2"/>
      <c r="R208" s="2"/>
      <c r="S208" s="9"/>
      <c r="T208" s="9"/>
    </row>
    <row r="209" spans="6:20" x14ac:dyDescent="0.35">
      <c r="F209" s="2"/>
      <c r="G209" s="2"/>
      <c r="H209" s="2"/>
      <c r="I209" s="2"/>
      <c r="J209" s="2"/>
      <c r="K209" s="2"/>
      <c r="L209" s="2"/>
      <c r="M209" s="2"/>
      <c r="Q209" s="2"/>
      <c r="R209" s="2"/>
      <c r="S209" s="9"/>
      <c r="T209" s="9"/>
    </row>
    <row r="210" spans="6:20" x14ac:dyDescent="0.35">
      <c r="F210" s="2"/>
      <c r="G210" s="2"/>
      <c r="H210" s="2"/>
      <c r="I210" s="2"/>
      <c r="J210" s="2"/>
      <c r="K210" s="2"/>
      <c r="L210" s="2"/>
      <c r="M210" s="2"/>
      <c r="Q210" s="2"/>
      <c r="R210" s="2"/>
      <c r="S210" s="9"/>
      <c r="T210" s="9"/>
    </row>
    <row r="211" spans="6:20" x14ac:dyDescent="0.35">
      <c r="F211" s="2"/>
      <c r="G211" s="2"/>
      <c r="H211" s="2"/>
      <c r="I211" s="2"/>
      <c r="J211" s="2"/>
      <c r="K211" s="2"/>
      <c r="L211" s="2"/>
      <c r="M211" s="2"/>
      <c r="Q211" s="2"/>
      <c r="R211" s="2"/>
      <c r="S211" s="9"/>
      <c r="T211" s="9"/>
    </row>
    <row r="212" spans="6:20" x14ac:dyDescent="0.35">
      <c r="F212" s="2"/>
      <c r="G212" s="2"/>
      <c r="H212" s="2"/>
      <c r="I212" s="2"/>
      <c r="J212" s="2"/>
      <c r="K212" s="2"/>
      <c r="L212" s="2"/>
      <c r="M212" s="2"/>
      <c r="Q212" s="2"/>
      <c r="R212" s="2"/>
      <c r="S212" s="9"/>
      <c r="T212" s="9"/>
    </row>
    <row r="213" spans="6:20" x14ac:dyDescent="0.35">
      <c r="F213" s="2"/>
      <c r="G213" s="2"/>
      <c r="H213" s="2"/>
      <c r="I213" s="2"/>
      <c r="J213" s="2"/>
      <c r="K213" s="2"/>
      <c r="L213" s="2"/>
      <c r="M213" s="2"/>
      <c r="Q213" s="2"/>
      <c r="R213" s="2"/>
      <c r="S213" s="9"/>
      <c r="T213" s="9"/>
    </row>
    <row r="214" spans="6:20" x14ac:dyDescent="0.35">
      <c r="F214" s="2"/>
      <c r="G214" s="2"/>
      <c r="H214" s="2"/>
      <c r="I214" s="2"/>
      <c r="J214" s="2"/>
      <c r="K214" s="2"/>
      <c r="L214" s="2"/>
      <c r="M214" s="2"/>
      <c r="Q214" s="2"/>
      <c r="R214" s="2"/>
      <c r="S214" s="9"/>
      <c r="T214" s="9"/>
    </row>
    <row r="215" spans="6:20" x14ac:dyDescent="0.35">
      <c r="F215" s="2"/>
      <c r="G215" s="2"/>
      <c r="H215" s="2"/>
      <c r="I215" s="2"/>
      <c r="J215" s="2"/>
      <c r="K215" s="2"/>
      <c r="L215" s="2"/>
      <c r="M215" s="2"/>
      <c r="Q215" s="2"/>
      <c r="R215" s="2"/>
      <c r="S215" s="9"/>
      <c r="T215" s="9"/>
    </row>
    <row r="216" spans="6:20" x14ac:dyDescent="0.35">
      <c r="F216" s="2"/>
      <c r="G216" s="2"/>
      <c r="H216" s="2"/>
      <c r="I216" s="2"/>
      <c r="J216" s="2"/>
      <c r="K216" s="2"/>
      <c r="L216" s="2"/>
      <c r="M216" s="2"/>
      <c r="Q216" s="2"/>
      <c r="R216" s="2"/>
      <c r="S216" s="9"/>
      <c r="T216" s="9"/>
    </row>
    <row r="217" spans="6:20" x14ac:dyDescent="0.35">
      <c r="F217" s="2"/>
      <c r="G217" s="2"/>
      <c r="H217" s="2"/>
      <c r="I217" s="2"/>
      <c r="J217" s="2"/>
      <c r="K217" s="2"/>
      <c r="L217" s="2"/>
      <c r="M217" s="2"/>
      <c r="Q217" s="2"/>
      <c r="R217" s="2"/>
      <c r="S217" s="9"/>
      <c r="T217" s="9"/>
    </row>
    <row r="218" spans="6:20" x14ac:dyDescent="0.35">
      <c r="F218" s="2"/>
      <c r="G218" s="2"/>
      <c r="H218" s="2"/>
      <c r="I218" s="2"/>
      <c r="J218" s="2"/>
      <c r="K218" s="2"/>
      <c r="L218" s="2"/>
      <c r="M218" s="2"/>
      <c r="Q218" s="2"/>
      <c r="R218" s="2"/>
      <c r="S218" s="9"/>
      <c r="T218" s="9"/>
    </row>
    <row r="219" spans="6:20" x14ac:dyDescent="0.35">
      <c r="F219" s="2"/>
      <c r="G219" s="2"/>
      <c r="H219" s="2"/>
      <c r="I219" s="2"/>
      <c r="J219" s="2"/>
      <c r="K219" s="2"/>
      <c r="L219" s="2"/>
      <c r="M219" s="2"/>
      <c r="Q219" s="2"/>
      <c r="R219" s="2"/>
      <c r="S219" s="9"/>
      <c r="T219" s="9"/>
    </row>
    <row r="220" spans="6:20" x14ac:dyDescent="0.35">
      <c r="F220" s="2"/>
      <c r="G220" s="2"/>
      <c r="H220" s="2"/>
      <c r="I220" s="2"/>
      <c r="J220" s="2"/>
      <c r="K220" s="2"/>
      <c r="L220" s="2"/>
      <c r="M220" s="2"/>
      <c r="Q220" s="2"/>
      <c r="R220" s="2"/>
      <c r="S220" s="9"/>
      <c r="T220" s="9"/>
    </row>
    <row r="221" spans="6:20" x14ac:dyDescent="0.35">
      <c r="F221" s="2"/>
      <c r="G221" s="2"/>
      <c r="H221" s="2"/>
      <c r="I221" s="2"/>
      <c r="J221" s="2"/>
      <c r="K221" s="2"/>
      <c r="L221" s="2"/>
      <c r="M221" s="2"/>
      <c r="Q221" s="2"/>
      <c r="R221" s="2"/>
      <c r="S221" s="9"/>
      <c r="T221" s="9"/>
    </row>
    <row r="222" spans="6:20" x14ac:dyDescent="0.35">
      <c r="F222" s="2"/>
      <c r="G222" s="2"/>
      <c r="H222" s="2"/>
      <c r="I222" s="2"/>
      <c r="J222" s="2"/>
      <c r="K222" s="2"/>
      <c r="L222" s="2"/>
      <c r="M222" s="2"/>
      <c r="Q222" s="2"/>
      <c r="R222" s="2"/>
      <c r="S222" s="9"/>
      <c r="T222" s="9"/>
    </row>
    <row r="223" spans="6:20" x14ac:dyDescent="0.35">
      <c r="F223" s="2"/>
      <c r="G223" s="2"/>
      <c r="H223" s="2"/>
      <c r="I223" s="2"/>
      <c r="J223" s="2"/>
      <c r="K223" s="2"/>
      <c r="L223" s="2"/>
      <c r="M223" s="2"/>
      <c r="Q223" s="2"/>
      <c r="R223" s="2"/>
      <c r="S223" s="9"/>
      <c r="T223" s="9"/>
    </row>
    <row r="224" spans="6:20" x14ac:dyDescent="0.35">
      <c r="F224" s="2"/>
      <c r="G224" s="2"/>
      <c r="H224" s="2"/>
      <c r="I224" s="2"/>
      <c r="J224" s="2"/>
      <c r="K224" s="2"/>
      <c r="L224" s="2"/>
      <c r="M224" s="2"/>
      <c r="Q224" s="2"/>
      <c r="R224" s="2"/>
      <c r="S224" s="9"/>
      <c r="T224" s="9"/>
    </row>
    <row r="225" spans="6:20" x14ac:dyDescent="0.35">
      <c r="F225" s="2"/>
      <c r="G225" s="2"/>
      <c r="H225" s="2"/>
      <c r="I225" s="2"/>
      <c r="J225" s="2"/>
      <c r="K225" s="2"/>
      <c r="L225" s="2"/>
      <c r="M225" s="2"/>
      <c r="Q225" s="2"/>
      <c r="R225" s="2"/>
      <c r="S225" s="9"/>
      <c r="T225" s="9"/>
    </row>
    <row r="226" spans="6:20" x14ac:dyDescent="0.35">
      <c r="F226" s="2"/>
      <c r="G226" s="2"/>
      <c r="H226" s="2"/>
      <c r="I226" s="2"/>
      <c r="J226" s="2"/>
      <c r="K226" s="2"/>
      <c r="L226" s="2"/>
      <c r="M226" s="2"/>
      <c r="Q226" s="2"/>
      <c r="R226" s="2"/>
      <c r="S226" s="9"/>
      <c r="T226" s="9"/>
    </row>
    <row r="227" spans="6:20" x14ac:dyDescent="0.35">
      <c r="F227" s="2"/>
      <c r="G227" s="2"/>
      <c r="H227" s="2"/>
      <c r="I227" s="2"/>
      <c r="J227" s="2"/>
      <c r="K227" s="2"/>
      <c r="L227" s="2"/>
      <c r="M227" s="2"/>
      <c r="Q227" s="2"/>
      <c r="R227" s="2"/>
      <c r="S227" s="9"/>
      <c r="T227" s="9"/>
    </row>
    <row r="228" spans="6:20" x14ac:dyDescent="0.35">
      <c r="F228" s="2"/>
      <c r="G228" s="2"/>
      <c r="H228" s="2"/>
      <c r="I228" s="2"/>
      <c r="J228" s="2"/>
      <c r="K228" s="2"/>
      <c r="L228" s="2"/>
      <c r="M228" s="2"/>
      <c r="Q228" s="2"/>
      <c r="R228" s="2"/>
      <c r="S228" s="9"/>
      <c r="T228" s="9"/>
    </row>
    <row r="229" spans="6:20" x14ac:dyDescent="0.35">
      <c r="F229" s="2"/>
      <c r="G229" s="2"/>
      <c r="H229" s="2"/>
      <c r="I229" s="2"/>
      <c r="J229" s="2"/>
      <c r="K229" s="2"/>
      <c r="L229" s="2"/>
      <c r="M229" s="2"/>
      <c r="Q229" s="2"/>
      <c r="R229" s="2"/>
      <c r="S229" s="9"/>
      <c r="T229" s="9"/>
    </row>
    <row r="230" spans="6:20" x14ac:dyDescent="0.35">
      <c r="F230" s="2"/>
      <c r="G230" s="2"/>
      <c r="H230" s="2"/>
      <c r="I230" s="2"/>
      <c r="J230" s="2"/>
      <c r="K230" s="2"/>
      <c r="L230" s="2"/>
      <c r="M230" s="2"/>
      <c r="Q230" s="2"/>
      <c r="R230" s="2"/>
      <c r="S230" s="9"/>
      <c r="T230" s="9"/>
    </row>
    <row r="231" spans="6:20" x14ac:dyDescent="0.35">
      <c r="F231" s="2"/>
      <c r="G231" s="2"/>
      <c r="H231" s="2"/>
      <c r="I231" s="2"/>
      <c r="J231" s="2"/>
      <c r="K231" s="2"/>
      <c r="L231" s="2"/>
      <c r="M231" s="2"/>
      <c r="Q231" s="2"/>
      <c r="R231" s="2"/>
      <c r="S231" s="9"/>
      <c r="T231" s="9"/>
    </row>
    <row r="232" spans="6:20" x14ac:dyDescent="0.35">
      <c r="F232" s="2"/>
      <c r="G232" s="2"/>
      <c r="H232" s="2"/>
      <c r="I232" s="2"/>
      <c r="J232" s="2"/>
      <c r="K232" s="2"/>
      <c r="L232" s="2"/>
      <c r="M232" s="2"/>
      <c r="Q232" s="2"/>
      <c r="R232" s="2"/>
      <c r="S232" s="9"/>
      <c r="T232" s="9"/>
    </row>
    <row r="233" spans="6:20" x14ac:dyDescent="0.35">
      <c r="F233" s="2"/>
      <c r="G233" s="2"/>
      <c r="H233" s="2"/>
      <c r="I233" s="2"/>
      <c r="J233" s="2"/>
      <c r="K233" s="2"/>
      <c r="L233" s="2"/>
      <c r="M233" s="2"/>
      <c r="Q233" s="2"/>
      <c r="R233" s="2"/>
      <c r="S233" s="9"/>
      <c r="T233" s="9"/>
    </row>
    <row r="234" spans="6:20" x14ac:dyDescent="0.35">
      <c r="F234" s="2"/>
      <c r="G234" s="2"/>
      <c r="H234" s="2"/>
      <c r="I234" s="2"/>
      <c r="J234" s="2"/>
      <c r="K234" s="2"/>
      <c r="L234" s="2"/>
      <c r="M234" s="2"/>
      <c r="Q234" s="2"/>
      <c r="R234" s="2"/>
      <c r="S234" s="9"/>
      <c r="T234" s="9"/>
    </row>
    <row r="235" spans="6:20" x14ac:dyDescent="0.35">
      <c r="F235" s="2"/>
      <c r="G235" s="2"/>
      <c r="H235" s="2"/>
      <c r="I235" s="2"/>
      <c r="J235" s="2"/>
      <c r="K235" s="2"/>
      <c r="L235" s="2"/>
      <c r="M235" s="2"/>
      <c r="Q235" s="2"/>
      <c r="R235" s="2"/>
      <c r="S235" s="9"/>
      <c r="T235" s="9"/>
    </row>
    <row r="236" spans="6:20" x14ac:dyDescent="0.35">
      <c r="F236" s="2"/>
      <c r="G236" s="2"/>
      <c r="H236" s="2"/>
      <c r="I236" s="2"/>
      <c r="J236" s="2"/>
      <c r="K236" s="2"/>
      <c r="L236" s="2"/>
      <c r="M236" s="2"/>
      <c r="Q236" s="2"/>
      <c r="R236" s="2"/>
      <c r="S236" s="9"/>
      <c r="T236" s="9"/>
    </row>
    <row r="237" spans="6:20" x14ac:dyDescent="0.35">
      <c r="F237" s="2"/>
      <c r="G237" s="2"/>
      <c r="H237" s="2"/>
      <c r="I237" s="2"/>
      <c r="J237" s="2"/>
      <c r="K237" s="2"/>
      <c r="L237" s="2"/>
      <c r="M237" s="2"/>
      <c r="Q237" s="2"/>
      <c r="R237" s="2"/>
      <c r="S237" s="9"/>
      <c r="T237" s="9"/>
    </row>
    <row r="238" spans="6:20" x14ac:dyDescent="0.35">
      <c r="F238" s="2"/>
      <c r="G238" s="2"/>
      <c r="H238" s="2"/>
      <c r="I238" s="2"/>
      <c r="J238" s="2"/>
      <c r="K238" s="2"/>
      <c r="L238" s="2"/>
      <c r="M238" s="2"/>
      <c r="Q238" s="2"/>
      <c r="R238" s="2"/>
      <c r="S238" s="9"/>
      <c r="T238" s="9"/>
    </row>
    <row r="239" spans="6:20" x14ac:dyDescent="0.35">
      <c r="F239" s="2"/>
      <c r="G239" s="2"/>
      <c r="H239" s="2"/>
      <c r="I239" s="2"/>
      <c r="J239" s="2"/>
      <c r="K239" s="2"/>
      <c r="L239" s="2"/>
      <c r="M239" s="2"/>
      <c r="Q239" s="2"/>
      <c r="R239" s="2"/>
      <c r="S239" s="9"/>
      <c r="T239" s="9"/>
    </row>
    <row r="240" spans="6:20" x14ac:dyDescent="0.35">
      <c r="F240" s="2"/>
      <c r="G240" s="2"/>
      <c r="H240" s="2"/>
      <c r="I240" s="2"/>
      <c r="J240" s="2"/>
      <c r="K240" s="2"/>
      <c r="L240" s="2"/>
      <c r="M240" s="2"/>
      <c r="Q240" s="2"/>
      <c r="R240" s="2"/>
      <c r="S240" s="9"/>
      <c r="T240" s="9"/>
    </row>
    <row r="241" spans="6:20" x14ac:dyDescent="0.35">
      <c r="F241" s="2"/>
      <c r="G241" s="2"/>
      <c r="H241" s="2"/>
      <c r="I241" s="2"/>
      <c r="J241" s="2"/>
      <c r="K241" s="2"/>
      <c r="L241" s="2"/>
      <c r="M241" s="2"/>
      <c r="Q241" s="2"/>
      <c r="R241" s="2"/>
      <c r="S241" s="9"/>
      <c r="T241" s="9"/>
    </row>
    <row r="242" spans="6:20" x14ac:dyDescent="0.35">
      <c r="F242" s="2"/>
      <c r="G242" s="2"/>
      <c r="H242" s="2"/>
      <c r="I242" s="2"/>
      <c r="J242" s="2"/>
      <c r="K242" s="2"/>
      <c r="L242" s="2"/>
      <c r="M242" s="2"/>
      <c r="Q242" s="2"/>
      <c r="R242" s="2"/>
      <c r="S242" s="9"/>
      <c r="T242" s="9"/>
    </row>
    <row r="243" spans="6:20" x14ac:dyDescent="0.35">
      <c r="F243" s="2"/>
      <c r="G243" s="2"/>
      <c r="H243" s="2"/>
      <c r="I243" s="2"/>
      <c r="J243" s="2"/>
      <c r="K243" s="2"/>
      <c r="L243" s="2"/>
      <c r="M243" s="2"/>
      <c r="Q243" s="2"/>
      <c r="R243" s="2"/>
      <c r="S243" s="9"/>
      <c r="T243" s="9"/>
    </row>
    <row r="244" spans="6:20" x14ac:dyDescent="0.35">
      <c r="F244" s="2"/>
      <c r="G244" s="2"/>
      <c r="H244" s="2"/>
      <c r="I244" s="2"/>
      <c r="J244" s="2"/>
      <c r="K244" s="2"/>
      <c r="L244" s="2"/>
      <c r="M244" s="2"/>
      <c r="Q244" s="2"/>
      <c r="R244" s="2"/>
      <c r="S244" s="9"/>
      <c r="T244" s="9"/>
    </row>
    <row r="245" spans="6:20" x14ac:dyDescent="0.35">
      <c r="F245" s="2"/>
      <c r="G245" s="2"/>
      <c r="H245" s="2"/>
      <c r="I245" s="2"/>
      <c r="J245" s="2"/>
      <c r="K245" s="2"/>
      <c r="L245" s="2"/>
      <c r="M245" s="2"/>
      <c r="Q245" s="2"/>
      <c r="R245" s="2"/>
      <c r="S245" s="9"/>
      <c r="T245" s="9"/>
    </row>
    <row r="246" spans="6:20" x14ac:dyDescent="0.35">
      <c r="F246" s="2"/>
      <c r="G246" s="2"/>
      <c r="H246" s="2"/>
      <c r="I246" s="2"/>
      <c r="J246" s="2"/>
      <c r="K246" s="2"/>
      <c r="L246" s="2"/>
      <c r="M246" s="2"/>
      <c r="Q246" s="2"/>
      <c r="R246" s="2"/>
      <c r="S246" s="9"/>
      <c r="T246" s="9"/>
    </row>
    <row r="247" spans="6:20" x14ac:dyDescent="0.35">
      <c r="F247" s="2"/>
      <c r="G247" s="2"/>
      <c r="H247" s="2"/>
      <c r="I247" s="2"/>
      <c r="J247" s="2"/>
      <c r="K247" s="2"/>
      <c r="L247" s="2"/>
      <c r="M247" s="2"/>
      <c r="Q247" s="2"/>
      <c r="R247" s="2"/>
      <c r="S247" s="9"/>
      <c r="T247" s="9"/>
    </row>
    <row r="248" spans="6:20" x14ac:dyDescent="0.35">
      <c r="F248" s="2"/>
      <c r="G248" s="2"/>
      <c r="H248" s="2"/>
      <c r="I248" s="2"/>
      <c r="J248" s="2"/>
      <c r="K248" s="2"/>
      <c r="L248" s="2"/>
      <c r="M248" s="2"/>
      <c r="Q248" s="2"/>
      <c r="R248" s="2"/>
      <c r="S248" s="9"/>
      <c r="T248" s="9"/>
    </row>
    <row r="249" spans="6:20" x14ac:dyDescent="0.35">
      <c r="F249" s="2"/>
      <c r="G249" s="2"/>
      <c r="H249" s="2"/>
      <c r="I249" s="2"/>
      <c r="J249" s="2"/>
      <c r="K249" s="2"/>
      <c r="L249" s="2"/>
      <c r="M249" s="2"/>
      <c r="Q249" s="2"/>
      <c r="R249" s="2"/>
      <c r="S249" s="9"/>
      <c r="T249" s="9"/>
    </row>
    <row r="250" spans="6:20" x14ac:dyDescent="0.35">
      <c r="F250" s="2"/>
      <c r="G250" s="2"/>
      <c r="H250" s="2"/>
      <c r="I250" s="2"/>
      <c r="J250" s="2"/>
      <c r="K250" s="2"/>
      <c r="L250" s="2"/>
      <c r="M250" s="2"/>
      <c r="Q250" s="2"/>
      <c r="R250" s="2"/>
      <c r="S250" s="9"/>
      <c r="T250" s="9"/>
    </row>
    <row r="251" spans="6:20" x14ac:dyDescent="0.35">
      <c r="F251" s="2"/>
      <c r="G251" s="2"/>
      <c r="H251" s="2"/>
      <c r="I251" s="2"/>
      <c r="J251" s="2"/>
      <c r="K251" s="2"/>
      <c r="L251" s="2"/>
      <c r="M251" s="2"/>
      <c r="Q251" s="2"/>
      <c r="R251" s="2"/>
      <c r="S251" s="9"/>
      <c r="T251" s="9"/>
    </row>
    <row r="252" spans="6:20" x14ac:dyDescent="0.35">
      <c r="F252" s="2"/>
      <c r="G252" s="2"/>
      <c r="H252" s="2"/>
      <c r="I252" s="2"/>
      <c r="J252" s="2"/>
      <c r="K252" s="2"/>
      <c r="L252" s="2"/>
      <c r="M252" s="2"/>
      <c r="Q252" s="2"/>
      <c r="R252" s="2"/>
      <c r="S252" s="9"/>
      <c r="T252" s="9"/>
    </row>
    <row r="253" spans="6:20" x14ac:dyDescent="0.35">
      <c r="F253" s="2"/>
      <c r="G253" s="2"/>
      <c r="H253" s="2"/>
      <c r="I253" s="2"/>
      <c r="J253" s="2"/>
      <c r="K253" s="2"/>
      <c r="L253" s="2"/>
      <c r="M253" s="2"/>
      <c r="Q253" s="2"/>
      <c r="R253" s="2"/>
      <c r="S253" s="9"/>
      <c r="T253" s="9"/>
    </row>
    <row r="254" spans="6:20" x14ac:dyDescent="0.35">
      <c r="F254" s="2"/>
      <c r="G254" s="2"/>
      <c r="H254" s="2"/>
      <c r="I254" s="2"/>
      <c r="J254" s="2"/>
      <c r="K254" s="2"/>
      <c r="L254" s="2"/>
      <c r="M254" s="2"/>
      <c r="Q254" s="2"/>
      <c r="R254" s="2"/>
      <c r="S254" s="9"/>
      <c r="T254" s="9"/>
    </row>
    <row r="255" spans="6:20" x14ac:dyDescent="0.35">
      <c r="F255" s="2"/>
      <c r="G255" s="2"/>
      <c r="H255" s="2"/>
      <c r="I255" s="2"/>
      <c r="J255" s="2"/>
      <c r="K255" s="2"/>
      <c r="L255" s="2"/>
      <c r="M255" s="2"/>
      <c r="Q255" s="2"/>
      <c r="R255" s="2"/>
      <c r="S255" s="9"/>
      <c r="T255" s="9"/>
    </row>
    <row r="256" spans="6:20" x14ac:dyDescent="0.35">
      <c r="F256" s="2"/>
      <c r="G256" s="2"/>
      <c r="H256" s="2"/>
      <c r="I256" s="2"/>
      <c r="J256" s="2"/>
      <c r="K256" s="2"/>
      <c r="L256" s="2"/>
      <c r="M256" s="2"/>
      <c r="Q256" s="2"/>
      <c r="R256" s="2"/>
      <c r="S256" s="9"/>
      <c r="T256" s="9"/>
    </row>
    <row r="257" spans="6:20" x14ac:dyDescent="0.35">
      <c r="F257" s="2"/>
      <c r="G257" s="2"/>
      <c r="H257" s="2"/>
      <c r="I257" s="2"/>
      <c r="J257" s="2"/>
      <c r="K257" s="2"/>
      <c r="L257" s="2"/>
      <c r="M257" s="2"/>
      <c r="Q257" s="2"/>
      <c r="R257" s="2"/>
      <c r="S257" s="9"/>
      <c r="T257" s="9"/>
    </row>
    <row r="258" spans="6:20" x14ac:dyDescent="0.35">
      <c r="F258" s="2"/>
      <c r="G258" s="2"/>
      <c r="H258" s="2"/>
      <c r="I258" s="2"/>
      <c r="J258" s="2"/>
      <c r="K258" s="2"/>
      <c r="L258" s="2"/>
      <c r="M258" s="2"/>
      <c r="Q258" s="2"/>
      <c r="R258" s="2"/>
      <c r="S258" s="9"/>
      <c r="T258" s="9"/>
    </row>
    <row r="259" spans="6:20" x14ac:dyDescent="0.35">
      <c r="F259" s="2"/>
      <c r="G259" s="2"/>
      <c r="H259" s="2"/>
      <c r="I259" s="2"/>
      <c r="J259" s="2"/>
      <c r="K259" s="2"/>
      <c r="L259" s="2"/>
      <c r="M259" s="2"/>
      <c r="Q259" s="2"/>
      <c r="R259" s="2"/>
      <c r="S259" s="9"/>
      <c r="T259" s="9"/>
    </row>
    <row r="260" spans="6:20" x14ac:dyDescent="0.35">
      <c r="F260" s="2"/>
      <c r="G260" s="2"/>
      <c r="H260" s="2"/>
      <c r="I260" s="2"/>
      <c r="J260" s="2"/>
      <c r="K260" s="2"/>
      <c r="L260" s="2"/>
      <c r="M260" s="2"/>
      <c r="Q260" s="2"/>
      <c r="R260" s="2"/>
      <c r="S260" s="9"/>
      <c r="T260" s="9"/>
    </row>
    <row r="261" spans="6:20" x14ac:dyDescent="0.35">
      <c r="F261" s="2"/>
      <c r="G261" s="2"/>
      <c r="H261" s="2"/>
      <c r="I261" s="2"/>
      <c r="J261" s="2"/>
      <c r="K261" s="2"/>
      <c r="L261" s="2"/>
      <c r="M261" s="2"/>
      <c r="Q261" s="2"/>
      <c r="R261" s="2"/>
      <c r="S261" s="9"/>
      <c r="T261" s="9"/>
    </row>
    <row r="262" spans="6:20" x14ac:dyDescent="0.35">
      <c r="F262" s="2"/>
      <c r="G262" s="2"/>
      <c r="H262" s="2"/>
      <c r="I262" s="2"/>
      <c r="J262" s="2"/>
      <c r="K262" s="2"/>
      <c r="L262" s="2"/>
      <c r="M262" s="2"/>
      <c r="Q262" s="2"/>
      <c r="R262" s="2"/>
      <c r="S262" s="9"/>
      <c r="T262" s="9"/>
    </row>
    <row r="263" spans="6:20" x14ac:dyDescent="0.35">
      <c r="F263" s="2"/>
      <c r="G263" s="2"/>
      <c r="H263" s="2"/>
      <c r="I263" s="2"/>
      <c r="J263" s="2"/>
      <c r="K263" s="2"/>
      <c r="L263" s="2"/>
      <c r="M263" s="2"/>
      <c r="Q263" s="2"/>
      <c r="R263" s="2"/>
      <c r="S263" s="9"/>
      <c r="T263" s="9"/>
    </row>
    <row r="264" spans="6:20" x14ac:dyDescent="0.35">
      <c r="F264" s="2"/>
      <c r="G264" s="2"/>
      <c r="H264" s="2"/>
      <c r="I264" s="2"/>
      <c r="J264" s="2"/>
      <c r="K264" s="2"/>
      <c r="L264" s="2"/>
      <c r="M264" s="2"/>
      <c r="Q264" s="2"/>
      <c r="R264" s="2"/>
      <c r="S264" s="9"/>
      <c r="T264" s="9"/>
    </row>
    <row r="265" spans="6:20" x14ac:dyDescent="0.35">
      <c r="F265" s="2"/>
      <c r="G265" s="2"/>
      <c r="H265" s="2"/>
      <c r="I265" s="2"/>
      <c r="J265" s="2"/>
      <c r="K265" s="2"/>
      <c r="L265" s="2"/>
      <c r="M265" s="2"/>
      <c r="Q265" s="2"/>
      <c r="R265" s="2"/>
      <c r="S265" s="9"/>
      <c r="T265" s="9"/>
    </row>
    <row r="266" spans="6:20" x14ac:dyDescent="0.35">
      <c r="F266" s="2"/>
      <c r="G266" s="2"/>
      <c r="H266" s="2"/>
      <c r="I266" s="2"/>
      <c r="J266" s="2"/>
      <c r="K266" s="2"/>
      <c r="L266" s="2"/>
      <c r="M266" s="2"/>
      <c r="Q266" s="2"/>
      <c r="R266" s="2"/>
      <c r="S266" s="9"/>
      <c r="T266" s="9"/>
    </row>
    <row r="267" spans="6:20" x14ac:dyDescent="0.35">
      <c r="F267" s="2"/>
      <c r="G267" s="2"/>
      <c r="H267" s="2"/>
      <c r="I267" s="2"/>
      <c r="J267" s="2"/>
      <c r="K267" s="2"/>
      <c r="L267" s="2"/>
      <c r="M267" s="2"/>
      <c r="Q267" s="2"/>
      <c r="R267" s="2"/>
      <c r="S267" s="9"/>
      <c r="T267" s="9"/>
    </row>
    <row r="268" spans="6:20" x14ac:dyDescent="0.35">
      <c r="F268" s="2"/>
      <c r="G268" s="2"/>
      <c r="H268" s="2"/>
      <c r="I268" s="2"/>
      <c r="J268" s="2"/>
      <c r="K268" s="2"/>
      <c r="L268" s="2"/>
      <c r="M268" s="2"/>
      <c r="Q268" s="2"/>
      <c r="R268" s="2"/>
      <c r="S268" s="9"/>
      <c r="T268" s="9"/>
    </row>
    <row r="269" spans="6:20" x14ac:dyDescent="0.35">
      <c r="F269" s="2"/>
      <c r="G269" s="2"/>
      <c r="H269" s="2"/>
      <c r="I269" s="2"/>
      <c r="J269" s="2"/>
      <c r="K269" s="2"/>
      <c r="L269" s="2"/>
      <c r="M269" s="2"/>
      <c r="Q269" s="2"/>
      <c r="R269" s="2"/>
      <c r="S269" s="9"/>
      <c r="T269" s="9"/>
    </row>
    <row r="270" spans="6:20" x14ac:dyDescent="0.35">
      <c r="F270" s="2"/>
      <c r="G270" s="2"/>
      <c r="H270" s="2"/>
      <c r="I270" s="2"/>
      <c r="J270" s="2"/>
      <c r="K270" s="2"/>
      <c r="L270" s="2"/>
      <c r="M270" s="2"/>
      <c r="Q270" s="2"/>
      <c r="R270" s="2"/>
      <c r="S270" s="9"/>
      <c r="T270" s="9"/>
    </row>
    <row r="271" spans="6:20" x14ac:dyDescent="0.35">
      <c r="F271" s="2"/>
      <c r="G271" s="2"/>
      <c r="H271" s="2"/>
      <c r="I271" s="2"/>
      <c r="J271" s="2"/>
      <c r="K271" s="2"/>
      <c r="L271" s="2"/>
      <c r="M271" s="2"/>
      <c r="Q271" s="2"/>
      <c r="R271" s="2"/>
      <c r="S271" s="9"/>
      <c r="T271" s="9"/>
    </row>
    <row r="272" spans="6:20" x14ac:dyDescent="0.35">
      <c r="F272" s="2"/>
      <c r="G272" s="2"/>
      <c r="H272" s="2"/>
      <c r="I272" s="2"/>
      <c r="J272" s="2"/>
      <c r="K272" s="2"/>
      <c r="L272" s="2"/>
      <c r="M272" s="2"/>
      <c r="Q272" s="2"/>
      <c r="R272" s="2"/>
      <c r="S272" s="9"/>
      <c r="T272" s="9"/>
    </row>
    <row r="273" spans="6:20" x14ac:dyDescent="0.35">
      <c r="F273" s="2"/>
      <c r="G273" s="2"/>
      <c r="H273" s="2"/>
      <c r="I273" s="2"/>
      <c r="J273" s="2"/>
      <c r="K273" s="2"/>
      <c r="L273" s="2"/>
      <c r="M273" s="2"/>
      <c r="Q273" s="2"/>
      <c r="R273" s="2"/>
      <c r="S273" s="9"/>
      <c r="T273" s="9"/>
    </row>
    <row r="274" spans="6:20" x14ac:dyDescent="0.35">
      <c r="F274" s="2"/>
      <c r="G274" s="2"/>
      <c r="H274" s="2"/>
      <c r="I274" s="2"/>
      <c r="J274" s="2"/>
      <c r="K274" s="2"/>
      <c r="L274" s="2"/>
      <c r="M274" s="2"/>
      <c r="Q274" s="2"/>
      <c r="R274" s="2"/>
      <c r="S274" s="9"/>
      <c r="T274" s="9"/>
    </row>
    <row r="275" spans="6:20" x14ac:dyDescent="0.35">
      <c r="F275" s="2"/>
      <c r="G275" s="2"/>
      <c r="H275" s="2"/>
      <c r="I275" s="2"/>
      <c r="J275" s="2"/>
      <c r="K275" s="2"/>
      <c r="L275" s="2"/>
      <c r="M275" s="2"/>
      <c r="Q275" s="2"/>
      <c r="R275" s="2"/>
      <c r="S275" s="9"/>
      <c r="T275" s="9"/>
    </row>
    <row r="276" spans="6:20" x14ac:dyDescent="0.35">
      <c r="F276" s="2"/>
      <c r="G276" s="2"/>
      <c r="H276" s="2"/>
      <c r="I276" s="2"/>
      <c r="J276" s="2"/>
      <c r="K276" s="2"/>
      <c r="L276" s="2"/>
      <c r="M276" s="2"/>
      <c r="Q276" s="2"/>
      <c r="R276" s="2"/>
      <c r="S276" s="9"/>
      <c r="T276" s="9"/>
    </row>
    <row r="277" spans="6:20" x14ac:dyDescent="0.35">
      <c r="F277" s="2"/>
      <c r="G277" s="2"/>
      <c r="H277" s="2"/>
      <c r="I277" s="2"/>
      <c r="J277" s="2"/>
      <c r="K277" s="2"/>
      <c r="L277" s="2"/>
      <c r="M277" s="2"/>
      <c r="Q277" s="2"/>
      <c r="R277" s="2"/>
      <c r="S277" s="9"/>
      <c r="T277" s="9"/>
    </row>
    <row r="278" spans="6:20" x14ac:dyDescent="0.35">
      <c r="F278" s="2"/>
      <c r="G278" s="2"/>
      <c r="H278" s="2"/>
      <c r="I278" s="2"/>
      <c r="J278" s="2"/>
      <c r="K278" s="2"/>
      <c r="L278" s="2"/>
      <c r="M278" s="2"/>
      <c r="Q278" s="2"/>
      <c r="R278" s="2"/>
      <c r="S278" s="9"/>
      <c r="T278" s="9"/>
    </row>
    <row r="279" spans="6:20" x14ac:dyDescent="0.35">
      <c r="F279" s="2"/>
      <c r="G279" s="2"/>
      <c r="H279" s="2"/>
      <c r="I279" s="2"/>
      <c r="J279" s="2"/>
      <c r="K279" s="2"/>
      <c r="L279" s="2"/>
      <c r="M279" s="2"/>
      <c r="Q279" s="2"/>
      <c r="R279" s="2"/>
      <c r="S279" s="9"/>
      <c r="T279" s="9"/>
    </row>
    <row r="280" spans="6:20" x14ac:dyDescent="0.35">
      <c r="F280" s="2"/>
      <c r="G280" s="2"/>
      <c r="H280" s="2"/>
      <c r="I280" s="2"/>
      <c r="J280" s="2"/>
      <c r="K280" s="2"/>
      <c r="L280" s="2"/>
      <c r="M280" s="2"/>
      <c r="Q280" s="2"/>
      <c r="R280" s="2"/>
      <c r="S280" s="9"/>
      <c r="T280" s="9"/>
    </row>
    <row r="281" spans="6:20" x14ac:dyDescent="0.35">
      <c r="F281" s="2"/>
      <c r="G281" s="2"/>
      <c r="H281" s="2"/>
      <c r="I281" s="2"/>
      <c r="J281" s="2"/>
      <c r="K281" s="2"/>
      <c r="L281" s="2"/>
      <c r="M281" s="2"/>
      <c r="Q281" s="2"/>
      <c r="R281" s="2"/>
      <c r="S281" s="9"/>
      <c r="T281" s="9"/>
    </row>
    <row r="282" spans="6:20" x14ac:dyDescent="0.35">
      <c r="F282" s="2"/>
      <c r="G282" s="2"/>
      <c r="H282" s="2"/>
      <c r="I282" s="2"/>
      <c r="J282" s="2"/>
      <c r="K282" s="2"/>
      <c r="L282" s="2"/>
      <c r="M282" s="2"/>
      <c r="Q282" s="2"/>
      <c r="R282" s="2"/>
      <c r="S282" s="9"/>
      <c r="T282" s="9"/>
    </row>
    <row r="283" spans="6:20" x14ac:dyDescent="0.35">
      <c r="F283" s="2"/>
      <c r="G283" s="2"/>
      <c r="H283" s="2"/>
      <c r="I283" s="2"/>
      <c r="J283" s="2"/>
      <c r="K283" s="2"/>
      <c r="L283" s="2"/>
      <c r="M283" s="2"/>
      <c r="Q283" s="2"/>
      <c r="R283" s="2"/>
      <c r="S283" s="9"/>
      <c r="T283" s="9"/>
    </row>
    <row r="284" spans="6:20" x14ac:dyDescent="0.35">
      <c r="F284" s="2"/>
      <c r="G284" s="2"/>
      <c r="H284" s="2"/>
      <c r="I284" s="2"/>
      <c r="J284" s="2"/>
      <c r="K284" s="2"/>
      <c r="L284" s="2"/>
      <c r="M284" s="2"/>
      <c r="Q284" s="2"/>
      <c r="R284" s="2"/>
      <c r="S284" s="9"/>
      <c r="T284" s="9"/>
    </row>
    <row r="285" spans="6:20" x14ac:dyDescent="0.35">
      <c r="F285" s="2"/>
      <c r="G285" s="2"/>
      <c r="H285" s="2"/>
      <c r="I285" s="2"/>
      <c r="J285" s="2"/>
      <c r="K285" s="2"/>
      <c r="L285" s="2"/>
      <c r="M285" s="2"/>
      <c r="Q285" s="2"/>
      <c r="R285" s="2"/>
      <c r="S285" s="9"/>
      <c r="T285" s="9"/>
    </row>
    <row r="286" spans="6:20" x14ac:dyDescent="0.35">
      <c r="F286" s="2"/>
      <c r="G286" s="2"/>
      <c r="H286" s="2"/>
      <c r="I286" s="2"/>
      <c r="J286" s="2"/>
      <c r="K286" s="2"/>
      <c r="L286" s="2"/>
      <c r="M286" s="2"/>
      <c r="Q286" s="2"/>
      <c r="R286" s="2"/>
      <c r="S286" s="9"/>
      <c r="T286" s="9"/>
    </row>
    <row r="287" spans="6:20" x14ac:dyDescent="0.35">
      <c r="F287" s="2"/>
      <c r="G287" s="2"/>
      <c r="H287" s="2"/>
      <c r="I287" s="2"/>
      <c r="J287" s="2"/>
      <c r="K287" s="2"/>
      <c r="L287" s="2"/>
      <c r="M287" s="2"/>
      <c r="Q287" s="2"/>
      <c r="R287" s="2"/>
      <c r="S287" s="9"/>
      <c r="T287" s="9"/>
    </row>
    <row r="288" spans="6:20" x14ac:dyDescent="0.35">
      <c r="F288" s="2"/>
      <c r="G288" s="2"/>
      <c r="H288" s="2"/>
      <c r="I288" s="2"/>
      <c r="J288" s="2"/>
      <c r="K288" s="2"/>
      <c r="L288" s="2"/>
      <c r="M288" s="2"/>
      <c r="Q288" s="2"/>
      <c r="R288" s="2"/>
      <c r="S288" s="9"/>
      <c r="T288" s="9"/>
    </row>
    <row r="289" spans="6:20" x14ac:dyDescent="0.35">
      <c r="F289" s="2"/>
      <c r="G289" s="2"/>
      <c r="H289" s="2"/>
      <c r="I289" s="2"/>
      <c r="J289" s="2"/>
      <c r="K289" s="2"/>
      <c r="L289" s="2"/>
      <c r="M289" s="2"/>
      <c r="Q289" s="2"/>
      <c r="R289" s="2"/>
      <c r="S289" s="9"/>
      <c r="T289" s="9"/>
    </row>
    <row r="290" spans="6:20" x14ac:dyDescent="0.35">
      <c r="F290" s="2"/>
      <c r="G290" s="2"/>
      <c r="H290" s="2"/>
      <c r="I290" s="2"/>
      <c r="J290" s="2"/>
      <c r="K290" s="2"/>
      <c r="L290" s="2"/>
      <c r="M290" s="2"/>
      <c r="Q290" s="2"/>
      <c r="R290" s="2"/>
      <c r="S290" s="9"/>
      <c r="T290" s="9"/>
    </row>
    <row r="291" spans="6:20" x14ac:dyDescent="0.35">
      <c r="F291" s="2"/>
      <c r="G291" s="2"/>
      <c r="H291" s="2"/>
      <c r="I291" s="2"/>
      <c r="J291" s="2"/>
      <c r="K291" s="2"/>
      <c r="L291" s="2"/>
      <c r="M291" s="2"/>
      <c r="Q291" s="2"/>
      <c r="R291" s="2"/>
      <c r="S291" s="9"/>
      <c r="T291" s="9"/>
    </row>
    <row r="292" spans="6:20" x14ac:dyDescent="0.35">
      <c r="F292" s="2"/>
      <c r="G292" s="2"/>
      <c r="H292" s="2"/>
      <c r="I292" s="2"/>
      <c r="J292" s="2"/>
      <c r="K292" s="2"/>
      <c r="L292" s="2"/>
      <c r="M292" s="2"/>
      <c r="Q292" s="2"/>
      <c r="R292" s="2"/>
      <c r="S292" s="9"/>
      <c r="T292" s="9"/>
    </row>
    <row r="293" spans="6:20" x14ac:dyDescent="0.35">
      <c r="F293" s="2"/>
      <c r="G293" s="2"/>
      <c r="H293" s="2"/>
      <c r="I293" s="2"/>
      <c r="J293" s="2"/>
      <c r="K293" s="2"/>
      <c r="L293" s="2"/>
      <c r="M293" s="2"/>
      <c r="Q293" s="2"/>
      <c r="R293" s="2"/>
      <c r="S293" s="9"/>
      <c r="T293" s="9"/>
    </row>
    <row r="294" spans="6:20" x14ac:dyDescent="0.35">
      <c r="F294" s="2"/>
      <c r="G294" s="2"/>
      <c r="H294" s="2"/>
      <c r="I294" s="2"/>
      <c r="J294" s="2"/>
      <c r="K294" s="2"/>
      <c r="L294" s="2"/>
      <c r="M294" s="2"/>
      <c r="Q294" s="2"/>
      <c r="R294" s="2"/>
      <c r="S294" s="9"/>
      <c r="T294" s="9"/>
    </row>
    <row r="295" spans="6:20" x14ac:dyDescent="0.35">
      <c r="F295" s="2"/>
      <c r="G295" s="2"/>
      <c r="H295" s="2"/>
      <c r="I295" s="2"/>
      <c r="J295" s="2"/>
      <c r="K295" s="2"/>
      <c r="L295" s="2"/>
      <c r="M295" s="2"/>
      <c r="Q295" s="2"/>
      <c r="R295" s="2"/>
      <c r="S295" s="9"/>
      <c r="T295" s="9"/>
    </row>
    <row r="296" spans="6:20" x14ac:dyDescent="0.35">
      <c r="F296" s="2"/>
      <c r="G296" s="2"/>
      <c r="H296" s="2"/>
      <c r="I296" s="2"/>
      <c r="J296" s="2"/>
      <c r="K296" s="2"/>
      <c r="L296" s="2"/>
      <c r="M296" s="2"/>
      <c r="Q296" s="2"/>
      <c r="R296" s="2"/>
      <c r="S296" s="9"/>
      <c r="T296" s="9"/>
    </row>
    <row r="297" spans="6:20" x14ac:dyDescent="0.35">
      <c r="F297" s="2"/>
      <c r="G297" s="2"/>
      <c r="H297" s="2"/>
      <c r="I297" s="2"/>
      <c r="J297" s="2"/>
      <c r="K297" s="2"/>
      <c r="L297" s="2"/>
      <c r="M297" s="2"/>
      <c r="Q297" s="2"/>
      <c r="R297" s="2"/>
      <c r="S297" s="9"/>
      <c r="T297" s="9"/>
    </row>
    <row r="298" spans="6:20" x14ac:dyDescent="0.35">
      <c r="F298" s="2"/>
      <c r="G298" s="2"/>
      <c r="H298" s="2"/>
      <c r="I298" s="2"/>
      <c r="J298" s="2"/>
      <c r="K298" s="2"/>
      <c r="L298" s="2"/>
      <c r="M298" s="2"/>
      <c r="Q298" s="2"/>
      <c r="R298" s="2"/>
      <c r="S298" s="9"/>
      <c r="T298" s="9"/>
    </row>
    <row r="299" spans="6:20" x14ac:dyDescent="0.35">
      <c r="F299" s="2"/>
      <c r="G299" s="2"/>
      <c r="H299" s="2"/>
      <c r="I299" s="2"/>
      <c r="J299" s="2"/>
      <c r="K299" s="2"/>
      <c r="L299" s="2"/>
      <c r="M299" s="2"/>
      <c r="Q299" s="2"/>
      <c r="R299" s="2"/>
      <c r="S299" s="9"/>
      <c r="T299" s="9"/>
    </row>
    <row r="300" spans="6:20" x14ac:dyDescent="0.35">
      <c r="F300" s="2"/>
      <c r="G300" s="2"/>
      <c r="H300" s="2"/>
      <c r="I300" s="2"/>
      <c r="J300" s="2"/>
      <c r="K300" s="2"/>
      <c r="L300" s="2"/>
      <c r="M300" s="2"/>
      <c r="Q300" s="2"/>
      <c r="R300" s="2"/>
      <c r="S300" s="9"/>
      <c r="T300" s="9"/>
    </row>
    <row r="301" spans="6:20" x14ac:dyDescent="0.35">
      <c r="F301" s="2"/>
      <c r="G301" s="2"/>
      <c r="H301" s="2"/>
      <c r="I301" s="2"/>
      <c r="J301" s="2"/>
      <c r="K301" s="2"/>
      <c r="L301" s="2"/>
      <c r="M301" s="2"/>
      <c r="Q301" s="2"/>
      <c r="R301" s="2"/>
      <c r="S301" s="9"/>
      <c r="T301" s="9"/>
    </row>
    <row r="302" spans="6:20" x14ac:dyDescent="0.35">
      <c r="F302" s="2"/>
      <c r="G302" s="2"/>
      <c r="H302" s="2"/>
      <c r="I302" s="2"/>
      <c r="J302" s="2"/>
      <c r="K302" s="2"/>
      <c r="L302" s="2"/>
      <c r="M302" s="2"/>
      <c r="Q302" s="2"/>
      <c r="R302" s="2"/>
      <c r="S302" s="9"/>
      <c r="T302" s="9"/>
    </row>
    <row r="303" spans="6:20" x14ac:dyDescent="0.35">
      <c r="F303" s="2"/>
      <c r="G303" s="2"/>
      <c r="H303" s="2"/>
      <c r="I303" s="2"/>
      <c r="J303" s="2"/>
      <c r="K303" s="2"/>
      <c r="L303" s="2"/>
      <c r="M303" s="2"/>
      <c r="Q303" s="2"/>
      <c r="R303" s="2"/>
      <c r="S303" s="9"/>
      <c r="T303" s="9"/>
    </row>
    <row r="304" spans="6:20" x14ac:dyDescent="0.35">
      <c r="F304" s="2"/>
      <c r="G304" s="2"/>
      <c r="H304" s="2"/>
      <c r="I304" s="2"/>
      <c r="J304" s="2"/>
      <c r="K304" s="2"/>
      <c r="L304" s="2"/>
      <c r="M304" s="2"/>
      <c r="Q304" s="2"/>
      <c r="R304" s="2"/>
      <c r="S304" s="9"/>
      <c r="T304" s="9"/>
    </row>
    <row r="305" spans="6:20" x14ac:dyDescent="0.35">
      <c r="F305" s="2"/>
      <c r="G305" s="2"/>
      <c r="H305" s="2"/>
      <c r="I305" s="2"/>
      <c r="J305" s="2"/>
      <c r="K305" s="2"/>
      <c r="L305" s="2"/>
      <c r="M305" s="2"/>
      <c r="Q305" s="2"/>
      <c r="R305" s="2"/>
      <c r="S305" s="9"/>
      <c r="T305" s="9"/>
    </row>
    <row r="306" spans="6:20" x14ac:dyDescent="0.35">
      <c r="F306" s="2"/>
      <c r="G306" s="2"/>
      <c r="H306" s="2"/>
      <c r="I306" s="2"/>
      <c r="J306" s="2"/>
      <c r="K306" s="2"/>
      <c r="L306" s="2"/>
      <c r="M306" s="2"/>
      <c r="Q306" s="2"/>
      <c r="R306" s="2"/>
      <c r="S306" s="9"/>
      <c r="T306" s="9"/>
    </row>
    <row r="307" spans="6:20" x14ac:dyDescent="0.35">
      <c r="F307" s="2"/>
      <c r="G307" s="2"/>
      <c r="H307" s="2"/>
      <c r="I307" s="2"/>
      <c r="J307" s="2"/>
      <c r="K307" s="2"/>
      <c r="L307" s="2"/>
      <c r="M307" s="2"/>
      <c r="Q307" s="2"/>
      <c r="R307" s="2"/>
      <c r="S307" s="9"/>
      <c r="T307" s="9"/>
    </row>
    <row r="308" spans="6:20" x14ac:dyDescent="0.35">
      <c r="F308" s="2"/>
      <c r="G308" s="2"/>
      <c r="H308" s="2"/>
      <c r="I308" s="2"/>
      <c r="J308" s="2"/>
      <c r="K308" s="2"/>
      <c r="L308" s="2"/>
      <c r="M308" s="2"/>
      <c r="Q308" s="2"/>
      <c r="R308" s="2"/>
      <c r="S308" s="9"/>
      <c r="T308" s="9"/>
    </row>
    <row r="309" spans="6:20" x14ac:dyDescent="0.35">
      <c r="F309" s="2"/>
      <c r="G309" s="2"/>
      <c r="H309" s="2"/>
      <c r="I309" s="2"/>
      <c r="J309" s="2"/>
      <c r="K309" s="2"/>
      <c r="L309" s="2"/>
      <c r="M309" s="2"/>
      <c r="Q309" s="2"/>
      <c r="R309" s="2"/>
      <c r="S309" s="9"/>
      <c r="T309" s="9"/>
    </row>
    <row r="310" spans="6:20" x14ac:dyDescent="0.35">
      <c r="F310" s="2"/>
      <c r="G310" s="2"/>
      <c r="H310" s="2"/>
      <c r="I310" s="2"/>
      <c r="J310" s="2"/>
      <c r="K310" s="2"/>
      <c r="L310" s="2"/>
      <c r="M310" s="2"/>
      <c r="Q310" s="2"/>
      <c r="R310" s="2"/>
      <c r="S310" s="9"/>
      <c r="T310" s="9"/>
    </row>
    <row r="311" spans="6:20" x14ac:dyDescent="0.35">
      <c r="F311" s="2"/>
      <c r="G311" s="2"/>
      <c r="H311" s="2"/>
      <c r="I311" s="2"/>
      <c r="J311" s="2"/>
      <c r="K311" s="2"/>
      <c r="L311" s="2"/>
      <c r="M311" s="2"/>
      <c r="Q311" s="2"/>
      <c r="R311" s="2"/>
      <c r="S311" s="9"/>
      <c r="T311" s="9"/>
    </row>
    <row r="312" spans="6:20" x14ac:dyDescent="0.35">
      <c r="F312" s="2"/>
      <c r="G312" s="2"/>
      <c r="H312" s="2"/>
      <c r="I312" s="2"/>
      <c r="J312" s="2"/>
      <c r="K312" s="2"/>
      <c r="L312" s="2"/>
      <c r="M312" s="2"/>
      <c r="Q312" s="2"/>
      <c r="R312" s="2"/>
      <c r="S312" s="9"/>
      <c r="T312" s="9"/>
    </row>
    <row r="313" spans="6:20" x14ac:dyDescent="0.35">
      <c r="F313" s="2"/>
      <c r="G313" s="2"/>
      <c r="H313" s="2"/>
      <c r="I313" s="2"/>
      <c r="J313" s="2"/>
      <c r="K313" s="2"/>
      <c r="L313" s="2"/>
      <c r="M313" s="2"/>
      <c r="Q313" s="2"/>
      <c r="R313" s="2"/>
      <c r="S313" s="9"/>
      <c r="T313" s="9"/>
    </row>
    <row r="314" spans="6:20" x14ac:dyDescent="0.35">
      <c r="F314" s="2"/>
      <c r="G314" s="2"/>
      <c r="H314" s="2"/>
      <c r="I314" s="2"/>
      <c r="J314" s="2"/>
      <c r="K314" s="2"/>
      <c r="L314" s="2"/>
      <c r="M314" s="2"/>
      <c r="Q314" s="2"/>
      <c r="R314" s="2"/>
      <c r="S314" s="9"/>
      <c r="T314" s="9"/>
    </row>
    <row r="315" spans="6:20" x14ac:dyDescent="0.35">
      <c r="F315" s="2"/>
      <c r="G315" s="2"/>
      <c r="H315" s="2"/>
      <c r="I315" s="2"/>
      <c r="J315" s="2"/>
      <c r="K315" s="2"/>
      <c r="L315" s="2"/>
      <c r="M315" s="2"/>
      <c r="Q315" s="2"/>
      <c r="R315" s="2"/>
      <c r="S315" s="9"/>
      <c r="T315" s="9"/>
    </row>
    <row r="316" spans="6:20" x14ac:dyDescent="0.35">
      <c r="F316" s="2"/>
      <c r="G316" s="2"/>
      <c r="H316" s="2"/>
      <c r="I316" s="2"/>
      <c r="J316" s="2"/>
      <c r="K316" s="2"/>
      <c r="L316" s="2"/>
      <c r="M316" s="2"/>
      <c r="Q316" s="2"/>
      <c r="R316" s="2"/>
      <c r="S316" s="9"/>
      <c r="T316" s="9"/>
    </row>
    <row r="317" spans="6:20" x14ac:dyDescent="0.35">
      <c r="F317" s="2"/>
      <c r="G317" s="2"/>
      <c r="H317" s="2"/>
      <c r="I317" s="2"/>
      <c r="J317" s="2"/>
      <c r="K317" s="2"/>
      <c r="L317" s="2"/>
      <c r="M317" s="2"/>
      <c r="Q317" s="2"/>
      <c r="R317" s="2"/>
      <c r="S317" s="9"/>
      <c r="T317" s="9"/>
    </row>
    <row r="318" spans="6:20" x14ac:dyDescent="0.35">
      <c r="F318" s="2"/>
      <c r="G318" s="2"/>
      <c r="H318" s="2"/>
      <c r="I318" s="2"/>
      <c r="J318" s="2"/>
      <c r="K318" s="2"/>
      <c r="L318" s="2"/>
      <c r="M318" s="2"/>
      <c r="Q318" s="2"/>
      <c r="R318" s="2"/>
      <c r="S318" s="9"/>
      <c r="T318" s="9"/>
    </row>
    <row r="319" spans="6:20" x14ac:dyDescent="0.35">
      <c r="F319" s="2"/>
      <c r="G319" s="2"/>
      <c r="H319" s="2"/>
      <c r="I319" s="2"/>
      <c r="J319" s="2"/>
      <c r="K319" s="2"/>
      <c r="L319" s="2"/>
      <c r="M319" s="2"/>
      <c r="Q319" s="2"/>
      <c r="R319" s="2"/>
      <c r="S319" s="9"/>
      <c r="T319" s="9"/>
    </row>
    <row r="320" spans="6:20" x14ac:dyDescent="0.35">
      <c r="F320" s="2"/>
      <c r="G320" s="2"/>
      <c r="H320" s="2"/>
      <c r="I320" s="2"/>
      <c r="J320" s="2"/>
      <c r="K320" s="2"/>
      <c r="L320" s="2"/>
      <c r="M320" s="2"/>
      <c r="Q320" s="2"/>
      <c r="R320" s="2"/>
      <c r="S320" s="9"/>
      <c r="T320" s="9"/>
    </row>
    <row r="321" spans="6:20" x14ac:dyDescent="0.35">
      <c r="F321" s="2"/>
      <c r="G321" s="2"/>
      <c r="H321" s="2"/>
      <c r="I321" s="2"/>
      <c r="J321" s="2"/>
      <c r="K321" s="2"/>
      <c r="L321" s="2"/>
      <c r="M321" s="2"/>
      <c r="Q321" s="2"/>
      <c r="R321" s="2"/>
      <c r="S321" s="9"/>
      <c r="T321" s="9"/>
    </row>
    <row r="322" spans="6:20" x14ac:dyDescent="0.35">
      <c r="F322" s="2"/>
      <c r="G322" s="2"/>
      <c r="H322" s="2"/>
      <c r="I322" s="2"/>
      <c r="J322" s="2"/>
      <c r="K322" s="2"/>
      <c r="L322" s="2"/>
      <c r="M322" s="2"/>
      <c r="Q322" s="2"/>
      <c r="R322" s="2"/>
      <c r="S322" s="9"/>
      <c r="T322" s="9"/>
    </row>
    <row r="323" spans="6:20" x14ac:dyDescent="0.35">
      <c r="F323" s="2"/>
      <c r="G323" s="2"/>
      <c r="H323" s="2"/>
      <c r="I323" s="2"/>
      <c r="J323" s="2"/>
      <c r="K323" s="2"/>
      <c r="L323" s="2"/>
      <c r="M323" s="2"/>
      <c r="Q323" s="2"/>
      <c r="R323" s="2"/>
      <c r="S323" s="9"/>
      <c r="T323" s="9"/>
    </row>
    <row r="324" spans="6:20" x14ac:dyDescent="0.35">
      <c r="F324" s="2"/>
      <c r="G324" s="2"/>
      <c r="H324" s="2"/>
      <c r="I324" s="2"/>
      <c r="J324" s="2"/>
      <c r="K324" s="2"/>
      <c r="L324" s="2"/>
      <c r="M324" s="2"/>
      <c r="Q324" s="2"/>
      <c r="R324" s="2"/>
      <c r="S324" s="9"/>
      <c r="T324" s="9"/>
    </row>
    <row r="325" spans="6:20" x14ac:dyDescent="0.35">
      <c r="F325" s="2"/>
      <c r="G325" s="2"/>
      <c r="H325" s="2"/>
      <c r="I325" s="2"/>
      <c r="J325" s="2"/>
      <c r="K325" s="2"/>
      <c r="L325" s="2"/>
      <c r="M325" s="2"/>
      <c r="Q325" s="2"/>
      <c r="R325" s="2"/>
      <c r="S325" s="9"/>
      <c r="T325" s="9"/>
    </row>
    <row r="326" spans="6:20" x14ac:dyDescent="0.35">
      <c r="F326" s="2"/>
      <c r="G326" s="2"/>
      <c r="H326" s="2"/>
      <c r="I326" s="2"/>
      <c r="J326" s="2"/>
      <c r="K326" s="2"/>
      <c r="L326" s="2"/>
      <c r="M326" s="2"/>
      <c r="Q326" s="2"/>
      <c r="R326" s="2"/>
      <c r="S326" s="9"/>
      <c r="T326" s="9"/>
    </row>
    <row r="327" spans="6:20" x14ac:dyDescent="0.35">
      <c r="F327" s="2"/>
      <c r="G327" s="2"/>
      <c r="H327" s="2"/>
      <c r="I327" s="2"/>
      <c r="J327" s="2"/>
      <c r="K327" s="2"/>
      <c r="L327" s="2"/>
      <c r="M327" s="2"/>
      <c r="Q327" s="2"/>
      <c r="R327" s="2"/>
      <c r="S327" s="9"/>
      <c r="T327" s="9"/>
    </row>
    <row r="328" spans="6:20" x14ac:dyDescent="0.35">
      <c r="F328" s="2"/>
      <c r="G328" s="2"/>
      <c r="H328" s="2"/>
      <c r="I328" s="2"/>
      <c r="J328" s="2"/>
      <c r="K328" s="2"/>
      <c r="L328" s="2"/>
      <c r="M328" s="2"/>
      <c r="Q328" s="2"/>
      <c r="R328" s="2"/>
      <c r="S328" s="9"/>
      <c r="T328" s="9"/>
    </row>
    <row r="329" spans="6:20" x14ac:dyDescent="0.35">
      <c r="F329" s="2"/>
      <c r="G329" s="2"/>
      <c r="H329" s="2"/>
      <c r="I329" s="2"/>
      <c r="J329" s="2"/>
      <c r="K329" s="2"/>
      <c r="L329" s="2"/>
      <c r="M329" s="2"/>
      <c r="Q329" s="2"/>
      <c r="R329" s="2"/>
      <c r="S329" s="9"/>
      <c r="T329" s="9"/>
    </row>
    <row r="330" spans="6:20" x14ac:dyDescent="0.35">
      <c r="F330" s="2"/>
      <c r="G330" s="2"/>
      <c r="H330" s="2"/>
      <c r="I330" s="2"/>
      <c r="J330" s="2"/>
      <c r="K330" s="2"/>
      <c r="L330" s="2"/>
      <c r="M330" s="2"/>
      <c r="Q330" s="2"/>
      <c r="R330" s="2"/>
      <c r="S330" s="9"/>
      <c r="T330" s="9"/>
    </row>
    <row r="331" spans="6:20" x14ac:dyDescent="0.35">
      <c r="F331" s="2"/>
      <c r="G331" s="2"/>
      <c r="H331" s="2"/>
      <c r="I331" s="2"/>
      <c r="J331" s="2"/>
      <c r="K331" s="2"/>
      <c r="L331" s="2"/>
      <c r="M331" s="2"/>
      <c r="Q331" s="2"/>
      <c r="R331" s="2"/>
      <c r="S331" s="9"/>
      <c r="T331" s="9"/>
    </row>
    <row r="332" spans="6:20" x14ac:dyDescent="0.35">
      <c r="F332" s="2"/>
      <c r="G332" s="2"/>
      <c r="H332" s="2"/>
      <c r="I332" s="2"/>
      <c r="J332" s="2"/>
      <c r="K332" s="2"/>
      <c r="L332" s="2"/>
      <c r="M332" s="2"/>
      <c r="Q332" s="2"/>
      <c r="R332" s="2"/>
      <c r="S332" s="9"/>
      <c r="T332" s="9"/>
    </row>
    <row r="333" spans="6:20" x14ac:dyDescent="0.35">
      <c r="F333" s="2"/>
      <c r="G333" s="2"/>
      <c r="H333" s="2"/>
      <c r="I333" s="2"/>
      <c r="J333" s="2"/>
      <c r="K333" s="2"/>
      <c r="L333" s="2"/>
      <c r="M333" s="2"/>
      <c r="Q333" s="2"/>
      <c r="R333" s="2"/>
      <c r="S333" s="9"/>
      <c r="T333" s="9"/>
    </row>
    <row r="334" spans="6:20" x14ac:dyDescent="0.35">
      <c r="F334" s="2"/>
      <c r="G334" s="2"/>
      <c r="H334" s="2"/>
      <c r="I334" s="2"/>
      <c r="J334" s="2"/>
      <c r="K334" s="2"/>
      <c r="L334" s="2"/>
      <c r="M334" s="2"/>
      <c r="Q334" s="2"/>
      <c r="R334" s="2"/>
      <c r="S334" s="9"/>
      <c r="T334" s="9"/>
    </row>
    <row r="335" spans="6:20" x14ac:dyDescent="0.35">
      <c r="F335" s="2"/>
      <c r="G335" s="2"/>
      <c r="H335" s="2"/>
      <c r="I335" s="2"/>
      <c r="J335" s="2"/>
      <c r="K335" s="2"/>
      <c r="L335" s="2"/>
      <c r="M335" s="2"/>
      <c r="Q335" s="2"/>
      <c r="R335" s="2"/>
      <c r="S335" s="9"/>
      <c r="T335" s="9"/>
    </row>
    <row r="336" spans="6:20" x14ac:dyDescent="0.35">
      <c r="F336" s="2"/>
      <c r="G336" s="2"/>
      <c r="H336" s="2"/>
      <c r="I336" s="2"/>
      <c r="J336" s="2"/>
      <c r="K336" s="2"/>
      <c r="L336" s="2"/>
      <c r="M336" s="2"/>
      <c r="Q336" s="2"/>
      <c r="R336" s="2"/>
      <c r="S336" s="9"/>
      <c r="T336" s="9"/>
    </row>
    <row r="337" spans="6:20" x14ac:dyDescent="0.35">
      <c r="F337" s="2"/>
      <c r="G337" s="2"/>
      <c r="H337" s="2"/>
      <c r="I337" s="2"/>
      <c r="J337" s="2"/>
      <c r="K337" s="2"/>
      <c r="L337" s="2"/>
      <c r="M337" s="2"/>
      <c r="Q337" s="2"/>
      <c r="R337" s="2"/>
      <c r="S337" s="9"/>
      <c r="T337" s="9"/>
    </row>
    <row r="338" spans="6:20" x14ac:dyDescent="0.35">
      <c r="F338" s="2"/>
      <c r="G338" s="2"/>
      <c r="H338" s="2"/>
      <c r="I338" s="2"/>
      <c r="J338" s="2"/>
      <c r="K338" s="2"/>
      <c r="L338" s="2"/>
      <c r="M338" s="2"/>
      <c r="Q338" s="2"/>
      <c r="R338" s="2"/>
      <c r="S338" s="9"/>
      <c r="T338" s="9"/>
    </row>
    <row r="339" spans="6:20" x14ac:dyDescent="0.35">
      <c r="F339" s="2"/>
      <c r="G339" s="2"/>
      <c r="H339" s="2"/>
      <c r="I339" s="2"/>
      <c r="J339" s="2"/>
      <c r="K339" s="2"/>
      <c r="L339" s="2"/>
      <c r="M339" s="2"/>
      <c r="Q339" s="2"/>
      <c r="R339" s="2"/>
      <c r="S339" s="9"/>
      <c r="T339" s="9"/>
    </row>
    <row r="340" spans="6:20" x14ac:dyDescent="0.35">
      <c r="F340" s="2"/>
      <c r="G340" s="2"/>
      <c r="H340" s="2"/>
      <c r="I340" s="2"/>
      <c r="J340" s="2"/>
      <c r="K340" s="2"/>
      <c r="L340" s="2"/>
      <c r="M340" s="2"/>
      <c r="Q340" s="2"/>
      <c r="R340" s="2"/>
      <c r="S340" s="9"/>
      <c r="T340" s="9"/>
    </row>
    <row r="341" spans="6:20" x14ac:dyDescent="0.35">
      <c r="F341" s="2"/>
      <c r="G341" s="2"/>
      <c r="H341" s="2"/>
      <c r="I341" s="2"/>
      <c r="J341" s="2"/>
      <c r="K341" s="2"/>
      <c r="L341" s="2"/>
      <c r="M341" s="2"/>
      <c r="Q341" s="2"/>
      <c r="R341" s="2"/>
      <c r="S341" s="9"/>
      <c r="T341" s="9"/>
    </row>
    <row r="342" spans="6:20" x14ac:dyDescent="0.35">
      <c r="F342" s="2"/>
      <c r="G342" s="2"/>
      <c r="H342" s="2"/>
      <c r="I342" s="2"/>
      <c r="J342" s="2"/>
      <c r="K342" s="2"/>
      <c r="L342" s="2"/>
      <c r="M342" s="2"/>
      <c r="Q342" s="2"/>
      <c r="R342" s="2"/>
      <c r="S342" s="9"/>
      <c r="T342" s="9"/>
    </row>
    <row r="343" spans="6:20" x14ac:dyDescent="0.35">
      <c r="F343" s="2"/>
      <c r="G343" s="2"/>
      <c r="H343" s="2"/>
      <c r="I343" s="2"/>
      <c r="J343" s="2"/>
      <c r="K343" s="2"/>
      <c r="L343" s="2"/>
      <c r="M343" s="2"/>
      <c r="Q343" s="2"/>
      <c r="R343" s="2"/>
      <c r="S343" s="9"/>
      <c r="T343" s="9"/>
    </row>
    <row r="344" spans="6:20" x14ac:dyDescent="0.35">
      <c r="F344" s="2"/>
      <c r="G344" s="2"/>
      <c r="H344" s="2"/>
      <c r="I344" s="2"/>
      <c r="J344" s="2"/>
      <c r="K344" s="2"/>
      <c r="L344" s="2"/>
      <c r="M344" s="2"/>
      <c r="Q344" s="2"/>
      <c r="R344" s="2"/>
      <c r="S344" s="9"/>
      <c r="T344" s="9"/>
    </row>
    <row r="345" spans="6:20" x14ac:dyDescent="0.35">
      <c r="F345" s="2"/>
      <c r="G345" s="2"/>
      <c r="H345" s="2"/>
      <c r="I345" s="2"/>
      <c r="J345" s="2"/>
      <c r="K345" s="2"/>
      <c r="L345" s="2"/>
      <c r="M345" s="2"/>
      <c r="Q345" s="2"/>
      <c r="R345" s="2"/>
      <c r="S345" s="9"/>
      <c r="T345" s="9"/>
    </row>
    <row r="346" spans="6:20" x14ac:dyDescent="0.35">
      <c r="F346" s="2"/>
      <c r="G346" s="2"/>
      <c r="H346" s="2"/>
      <c r="I346" s="2"/>
      <c r="J346" s="2"/>
      <c r="K346" s="2"/>
      <c r="L346" s="2"/>
      <c r="M346" s="2"/>
      <c r="Q346" s="2"/>
      <c r="R346" s="2"/>
      <c r="S346" s="9"/>
      <c r="T346" s="9"/>
    </row>
    <row r="347" spans="6:20" x14ac:dyDescent="0.35">
      <c r="F347" s="2"/>
      <c r="G347" s="2"/>
      <c r="H347" s="2"/>
      <c r="I347" s="2"/>
      <c r="J347" s="2"/>
      <c r="K347" s="2"/>
      <c r="L347" s="2"/>
      <c r="M347" s="2"/>
      <c r="Q347" s="2"/>
      <c r="R347" s="2"/>
      <c r="S347" s="9"/>
      <c r="T347" s="9"/>
    </row>
    <row r="348" spans="6:20" x14ac:dyDescent="0.35">
      <c r="F348" s="2"/>
      <c r="G348" s="2"/>
      <c r="H348" s="2"/>
      <c r="I348" s="2"/>
      <c r="J348" s="2"/>
      <c r="K348" s="2"/>
      <c r="L348" s="2"/>
      <c r="M348" s="2"/>
      <c r="Q348" s="2"/>
      <c r="R348" s="2"/>
      <c r="S348" s="9"/>
      <c r="T348" s="9"/>
    </row>
    <row r="349" spans="6:20" x14ac:dyDescent="0.35">
      <c r="F349" s="2"/>
      <c r="G349" s="2"/>
      <c r="H349" s="2"/>
      <c r="I349" s="2"/>
      <c r="J349" s="2"/>
      <c r="K349" s="2"/>
      <c r="L349" s="2"/>
      <c r="M349" s="2"/>
      <c r="Q349" s="2"/>
      <c r="R349" s="2"/>
      <c r="S349" s="9"/>
      <c r="T349" s="9"/>
    </row>
    <row r="350" spans="6:20" x14ac:dyDescent="0.35">
      <c r="F350" s="2"/>
      <c r="G350" s="2"/>
      <c r="H350" s="2"/>
      <c r="I350" s="2"/>
      <c r="J350" s="2"/>
      <c r="K350" s="2"/>
      <c r="L350" s="2"/>
      <c r="M350" s="2"/>
      <c r="Q350" s="2"/>
      <c r="R350" s="2"/>
      <c r="S350" s="9"/>
      <c r="T350" s="9"/>
    </row>
    <row r="351" spans="6:20" x14ac:dyDescent="0.35">
      <c r="F351" s="2"/>
      <c r="G351" s="2"/>
      <c r="H351" s="2"/>
      <c r="I351" s="2"/>
      <c r="J351" s="2"/>
      <c r="K351" s="2"/>
      <c r="L351" s="2"/>
      <c r="M351" s="2"/>
      <c r="Q351" s="2"/>
      <c r="R351" s="2"/>
      <c r="S351" s="9"/>
      <c r="T351" s="9"/>
    </row>
    <row r="352" spans="6:20" x14ac:dyDescent="0.35">
      <c r="F352" s="2"/>
      <c r="G352" s="2"/>
      <c r="H352" s="2"/>
      <c r="I352" s="2"/>
      <c r="J352" s="2"/>
      <c r="K352" s="2"/>
      <c r="L352" s="2"/>
      <c r="M352" s="2"/>
      <c r="Q352" s="2"/>
      <c r="R352" s="2"/>
      <c r="S352" s="9"/>
      <c r="T352" s="9"/>
    </row>
    <row r="353" spans="6:20" x14ac:dyDescent="0.35">
      <c r="F353" s="2"/>
      <c r="G353" s="2"/>
      <c r="H353" s="2"/>
      <c r="I353" s="2"/>
      <c r="J353" s="2"/>
      <c r="K353" s="2"/>
      <c r="L353" s="2"/>
      <c r="M353" s="2"/>
      <c r="Q353" s="2"/>
      <c r="R353" s="2"/>
      <c r="S353" s="9"/>
      <c r="T353" s="9"/>
    </row>
    <row r="354" spans="6:20" x14ac:dyDescent="0.35">
      <c r="F354" s="2"/>
      <c r="G354" s="2"/>
      <c r="H354" s="2"/>
      <c r="I354" s="2"/>
      <c r="J354" s="2"/>
      <c r="K354" s="2"/>
      <c r="L354" s="2"/>
      <c r="M354" s="2"/>
      <c r="Q354" s="2"/>
      <c r="R354" s="2"/>
      <c r="S354" s="9"/>
      <c r="T354" s="9"/>
    </row>
    <row r="355" spans="6:20" x14ac:dyDescent="0.35">
      <c r="F355" s="2"/>
      <c r="G355" s="2"/>
      <c r="H355" s="2"/>
      <c r="I355" s="2"/>
      <c r="J355" s="2"/>
      <c r="K355" s="2"/>
      <c r="L355" s="2"/>
      <c r="M355" s="2"/>
      <c r="Q355" s="2"/>
      <c r="R355" s="2"/>
      <c r="S355" s="9"/>
      <c r="T355" s="9"/>
    </row>
    <row r="356" spans="6:20" x14ac:dyDescent="0.35">
      <c r="F356" s="2"/>
      <c r="G356" s="2"/>
      <c r="H356" s="2"/>
      <c r="I356" s="2"/>
      <c r="J356" s="2"/>
      <c r="K356" s="2"/>
      <c r="L356" s="2"/>
      <c r="M356" s="2"/>
      <c r="Q356" s="2"/>
      <c r="R356" s="2"/>
      <c r="S356" s="9"/>
      <c r="T356" s="9"/>
    </row>
    <row r="357" spans="6:20" x14ac:dyDescent="0.35">
      <c r="F357" s="2"/>
      <c r="G357" s="2"/>
      <c r="H357" s="2"/>
      <c r="I357" s="2"/>
      <c r="J357" s="2"/>
      <c r="K357" s="2"/>
      <c r="L357" s="2"/>
      <c r="M357" s="2"/>
      <c r="Q357" s="2"/>
      <c r="R357" s="2"/>
      <c r="S357" s="9"/>
      <c r="T357" s="9"/>
    </row>
    <row r="358" spans="6:20" x14ac:dyDescent="0.35">
      <c r="F358" s="2"/>
      <c r="G358" s="2"/>
      <c r="H358" s="2"/>
      <c r="I358" s="2"/>
      <c r="J358" s="2"/>
      <c r="K358" s="2"/>
      <c r="L358" s="2"/>
      <c r="M358" s="2"/>
      <c r="Q358" s="2"/>
      <c r="R358" s="2"/>
      <c r="S358" s="9"/>
      <c r="T358" s="9"/>
    </row>
    <row r="359" spans="6:20" x14ac:dyDescent="0.35">
      <c r="F359" s="2"/>
      <c r="G359" s="2"/>
      <c r="H359" s="2"/>
      <c r="I359" s="2"/>
      <c r="J359" s="2"/>
      <c r="K359" s="2"/>
      <c r="L359" s="2"/>
      <c r="M359" s="2"/>
      <c r="Q359" s="2"/>
      <c r="R359" s="2"/>
      <c r="S359" s="9"/>
      <c r="T359" s="9"/>
    </row>
    <row r="360" spans="6:20" x14ac:dyDescent="0.35">
      <c r="F360" s="2"/>
      <c r="G360" s="2"/>
      <c r="H360" s="2"/>
      <c r="I360" s="2"/>
      <c r="J360" s="2"/>
      <c r="K360" s="2"/>
      <c r="L360" s="2"/>
      <c r="M360" s="2"/>
      <c r="Q360" s="2"/>
      <c r="R360" s="2"/>
      <c r="S360" s="9"/>
      <c r="T360" s="9"/>
    </row>
    <row r="361" spans="6:20" x14ac:dyDescent="0.35">
      <c r="F361" s="2"/>
      <c r="G361" s="2"/>
      <c r="H361" s="2"/>
      <c r="I361" s="2"/>
      <c r="J361" s="2"/>
      <c r="K361" s="2"/>
      <c r="L361" s="2"/>
      <c r="M361" s="2"/>
      <c r="Q361" s="2"/>
      <c r="R361" s="2"/>
      <c r="S361" s="9"/>
      <c r="T361" s="9"/>
    </row>
    <row r="362" spans="6:20" x14ac:dyDescent="0.35">
      <c r="F362" s="2"/>
      <c r="G362" s="2"/>
      <c r="H362" s="2"/>
      <c r="I362" s="2"/>
      <c r="J362" s="2"/>
      <c r="K362" s="2"/>
      <c r="L362" s="2"/>
      <c r="M362" s="2"/>
      <c r="Q362" s="2"/>
      <c r="R362" s="2"/>
      <c r="S362" s="9"/>
      <c r="T362" s="9"/>
    </row>
    <row r="363" spans="6:20" x14ac:dyDescent="0.35">
      <c r="F363" s="2"/>
      <c r="G363" s="2"/>
      <c r="H363" s="2"/>
      <c r="I363" s="2"/>
      <c r="J363" s="2"/>
      <c r="K363" s="2"/>
      <c r="L363" s="2"/>
      <c r="M363" s="2"/>
      <c r="Q363" s="2"/>
      <c r="R363" s="2"/>
      <c r="S363" s="9"/>
      <c r="T363" s="9"/>
    </row>
    <row r="364" spans="6:20" x14ac:dyDescent="0.35">
      <c r="F364" s="2"/>
      <c r="G364" s="2"/>
      <c r="H364" s="2"/>
      <c r="I364" s="2"/>
      <c r="J364" s="2"/>
      <c r="K364" s="2"/>
      <c r="L364" s="2"/>
      <c r="M364" s="2"/>
      <c r="Q364" s="2"/>
      <c r="R364" s="2"/>
      <c r="S364" s="9"/>
      <c r="T364" s="9"/>
    </row>
    <row r="365" spans="6:20" x14ac:dyDescent="0.35">
      <c r="F365" s="2"/>
      <c r="G365" s="2"/>
      <c r="H365" s="2"/>
      <c r="I365" s="2"/>
      <c r="J365" s="2"/>
      <c r="K365" s="2"/>
      <c r="L365" s="2"/>
      <c r="M365" s="2"/>
      <c r="Q365" s="2"/>
      <c r="R365" s="2"/>
      <c r="S365" s="9"/>
      <c r="T365" s="9"/>
    </row>
    <row r="366" spans="6:20" x14ac:dyDescent="0.35">
      <c r="F366" s="2"/>
      <c r="G366" s="2"/>
      <c r="H366" s="2"/>
      <c r="I366" s="2"/>
      <c r="J366" s="2"/>
      <c r="K366" s="2"/>
      <c r="L366" s="2"/>
      <c r="M366" s="2"/>
      <c r="Q366" s="2"/>
      <c r="R366" s="2"/>
      <c r="S366" s="9"/>
      <c r="T366" s="9"/>
    </row>
    <row r="367" spans="6:20" x14ac:dyDescent="0.35">
      <c r="F367" s="2"/>
      <c r="G367" s="2"/>
      <c r="H367" s="2"/>
      <c r="I367" s="2"/>
      <c r="J367" s="2"/>
      <c r="K367" s="2"/>
      <c r="L367" s="2"/>
      <c r="M367" s="2"/>
      <c r="Q367" s="2"/>
      <c r="R367" s="2"/>
      <c r="S367" s="9"/>
      <c r="T367" s="9"/>
    </row>
    <row r="368" spans="6:20" x14ac:dyDescent="0.35">
      <c r="F368" s="2"/>
      <c r="G368" s="2"/>
      <c r="H368" s="2"/>
      <c r="I368" s="2"/>
      <c r="J368" s="2"/>
      <c r="K368" s="2"/>
      <c r="L368" s="2"/>
      <c r="M368" s="2"/>
      <c r="Q368" s="2"/>
      <c r="R368" s="2"/>
      <c r="S368" s="9"/>
      <c r="T368" s="9"/>
    </row>
    <row r="369" spans="6:20" x14ac:dyDescent="0.35">
      <c r="F369" s="2"/>
      <c r="G369" s="2"/>
      <c r="H369" s="2"/>
      <c r="I369" s="2"/>
      <c r="J369" s="2"/>
      <c r="K369" s="2"/>
      <c r="L369" s="2"/>
      <c r="M369" s="2"/>
      <c r="Q369" s="2"/>
      <c r="R369" s="2"/>
      <c r="S369" s="9"/>
      <c r="T369" s="9"/>
    </row>
    <row r="370" spans="6:20" x14ac:dyDescent="0.35">
      <c r="F370" s="2"/>
      <c r="G370" s="2"/>
      <c r="H370" s="2"/>
      <c r="I370" s="2"/>
      <c r="J370" s="2"/>
      <c r="K370" s="2"/>
      <c r="L370" s="2"/>
      <c r="M370" s="2"/>
      <c r="Q370" s="2"/>
      <c r="R370" s="2"/>
      <c r="S370" s="9"/>
      <c r="T370" s="9"/>
    </row>
    <row r="371" spans="6:20" x14ac:dyDescent="0.35">
      <c r="F371" s="2"/>
      <c r="G371" s="2"/>
      <c r="H371" s="2"/>
      <c r="I371" s="2"/>
      <c r="J371" s="2"/>
      <c r="K371" s="2"/>
      <c r="L371" s="2"/>
      <c r="M371" s="2"/>
      <c r="Q371" s="2"/>
      <c r="R371" s="2"/>
      <c r="S371" s="9"/>
      <c r="T371" s="9"/>
    </row>
    <row r="372" spans="6:20" x14ac:dyDescent="0.35">
      <c r="F372" s="2"/>
      <c r="G372" s="2"/>
      <c r="H372" s="2"/>
      <c r="I372" s="2"/>
      <c r="J372" s="2"/>
      <c r="K372" s="2"/>
      <c r="L372" s="2"/>
      <c r="M372" s="2"/>
      <c r="Q372" s="2"/>
      <c r="R372" s="2"/>
      <c r="S372" s="9"/>
      <c r="T372" s="9"/>
    </row>
    <row r="373" spans="6:20" x14ac:dyDescent="0.35">
      <c r="F373" s="2"/>
      <c r="G373" s="2"/>
      <c r="H373" s="2"/>
      <c r="I373" s="2"/>
      <c r="J373" s="2"/>
      <c r="K373" s="2"/>
      <c r="L373" s="2"/>
      <c r="M373" s="2"/>
      <c r="Q373" s="2"/>
      <c r="R373" s="2"/>
      <c r="S373" s="9"/>
      <c r="T373" s="9"/>
    </row>
    <row r="374" spans="6:20" x14ac:dyDescent="0.35">
      <c r="F374" s="2"/>
      <c r="G374" s="2"/>
      <c r="H374" s="2"/>
      <c r="I374" s="2"/>
      <c r="J374" s="2"/>
      <c r="K374" s="2"/>
      <c r="L374" s="2"/>
      <c r="M374" s="2"/>
      <c r="Q374" s="2"/>
      <c r="R374" s="2"/>
      <c r="S374" s="9"/>
      <c r="T374" s="9"/>
    </row>
    <row r="375" spans="6:20" x14ac:dyDescent="0.35">
      <c r="F375" s="2"/>
      <c r="G375" s="2"/>
      <c r="H375" s="2"/>
      <c r="I375" s="2"/>
      <c r="J375" s="2"/>
      <c r="K375" s="2"/>
      <c r="L375" s="2"/>
      <c r="M375" s="2"/>
      <c r="Q375" s="2"/>
      <c r="R375" s="2"/>
      <c r="S375" s="9"/>
      <c r="T375" s="9"/>
    </row>
    <row r="376" spans="6:20" x14ac:dyDescent="0.35">
      <c r="F376" s="2"/>
      <c r="G376" s="2"/>
      <c r="H376" s="2"/>
      <c r="I376" s="2"/>
      <c r="J376" s="2"/>
      <c r="K376" s="2"/>
      <c r="L376" s="2"/>
      <c r="M376" s="2"/>
      <c r="Q376" s="2"/>
      <c r="R376" s="2"/>
      <c r="S376" s="9"/>
      <c r="T376" s="9"/>
    </row>
    <row r="377" spans="6:20" x14ac:dyDescent="0.35">
      <c r="F377" s="2"/>
      <c r="G377" s="2"/>
      <c r="H377" s="2"/>
      <c r="I377" s="2"/>
      <c r="J377" s="2"/>
      <c r="K377" s="2"/>
      <c r="L377" s="2"/>
      <c r="M377" s="2"/>
      <c r="Q377" s="2"/>
      <c r="R377" s="2"/>
      <c r="S377" s="9"/>
      <c r="T377" s="9"/>
    </row>
    <row r="378" spans="6:20" x14ac:dyDescent="0.35">
      <c r="F378" s="2"/>
      <c r="G378" s="2"/>
      <c r="H378" s="2"/>
      <c r="I378" s="2"/>
      <c r="J378" s="2"/>
      <c r="K378" s="2"/>
      <c r="L378" s="2"/>
      <c r="M378" s="2"/>
      <c r="Q378" s="2"/>
      <c r="R378" s="2"/>
      <c r="S378" s="9"/>
      <c r="T378" s="9"/>
    </row>
    <row r="379" spans="6:20" x14ac:dyDescent="0.35">
      <c r="F379" s="2"/>
      <c r="G379" s="2"/>
      <c r="H379" s="2"/>
      <c r="I379" s="2"/>
      <c r="J379" s="2"/>
      <c r="K379" s="2"/>
      <c r="L379" s="2"/>
      <c r="M379" s="2"/>
      <c r="Q379" s="2"/>
      <c r="R379" s="2"/>
      <c r="S379" s="9"/>
      <c r="T379" s="9"/>
    </row>
    <row r="380" spans="6:20" x14ac:dyDescent="0.35">
      <c r="F380" s="2"/>
      <c r="G380" s="2"/>
      <c r="H380" s="2"/>
      <c r="I380" s="2"/>
      <c r="J380" s="2"/>
      <c r="K380" s="2"/>
      <c r="L380" s="2"/>
      <c r="M380" s="2"/>
      <c r="Q380" s="2"/>
      <c r="R380" s="2"/>
      <c r="S380" s="9"/>
      <c r="T380" s="9"/>
    </row>
    <row r="381" spans="6:20" x14ac:dyDescent="0.35">
      <c r="F381" s="2"/>
      <c r="G381" s="2"/>
      <c r="H381" s="2"/>
      <c r="I381" s="2"/>
      <c r="J381" s="2"/>
      <c r="K381" s="2"/>
      <c r="L381" s="2"/>
      <c r="M381" s="2"/>
      <c r="Q381" s="2"/>
      <c r="R381" s="2"/>
      <c r="S381" s="9"/>
      <c r="T381" s="9"/>
    </row>
    <row r="382" spans="6:20" x14ac:dyDescent="0.35">
      <c r="F382" s="2"/>
      <c r="G382" s="2"/>
      <c r="H382" s="2"/>
      <c r="I382" s="2"/>
      <c r="J382" s="2"/>
      <c r="K382" s="2"/>
      <c r="L382" s="2"/>
      <c r="M382" s="2"/>
      <c r="Q382" s="2"/>
      <c r="R382" s="2"/>
      <c r="S382" s="9"/>
      <c r="T382" s="9"/>
    </row>
    <row r="383" spans="6:20" x14ac:dyDescent="0.35">
      <c r="F383" s="2"/>
      <c r="G383" s="2"/>
      <c r="H383" s="2"/>
      <c r="I383" s="2"/>
      <c r="J383" s="2"/>
      <c r="K383" s="2"/>
      <c r="L383" s="2"/>
      <c r="M383" s="2"/>
      <c r="Q383" s="2"/>
      <c r="R383" s="2"/>
      <c r="S383" s="9"/>
      <c r="T383" s="9"/>
    </row>
    <row r="384" spans="6:20" x14ac:dyDescent="0.35">
      <c r="F384" s="2"/>
      <c r="G384" s="2"/>
      <c r="H384" s="2"/>
      <c r="I384" s="2"/>
      <c r="J384" s="2"/>
      <c r="K384" s="2"/>
      <c r="L384" s="2"/>
      <c r="M384" s="2"/>
      <c r="Q384" s="2"/>
      <c r="R384" s="2"/>
      <c r="S384" s="9"/>
      <c r="T384" s="9"/>
    </row>
    <row r="385" spans="6:20" x14ac:dyDescent="0.35">
      <c r="F385" s="2"/>
      <c r="G385" s="2"/>
      <c r="H385" s="2"/>
      <c r="I385" s="2"/>
      <c r="J385" s="2"/>
      <c r="K385" s="2"/>
      <c r="L385" s="2"/>
      <c r="M385" s="2"/>
      <c r="Q385" s="2"/>
      <c r="R385" s="2"/>
      <c r="S385" s="9"/>
      <c r="T385" s="9"/>
    </row>
    <row r="386" spans="6:20" x14ac:dyDescent="0.35">
      <c r="F386" s="2"/>
      <c r="G386" s="2"/>
      <c r="H386" s="2"/>
      <c r="I386" s="2"/>
      <c r="J386" s="2"/>
      <c r="K386" s="2"/>
      <c r="L386" s="2"/>
      <c r="M386" s="2"/>
      <c r="Q386" s="2"/>
      <c r="R386" s="2"/>
      <c r="S386" s="9"/>
      <c r="T386" s="9"/>
    </row>
    <row r="387" spans="6:20" x14ac:dyDescent="0.35">
      <c r="F387" s="2"/>
      <c r="G387" s="2"/>
      <c r="H387" s="2"/>
      <c r="I387" s="2"/>
      <c r="J387" s="2"/>
      <c r="K387" s="2"/>
      <c r="L387" s="2"/>
      <c r="M387" s="2"/>
      <c r="Q387" s="2"/>
      <c r="R387" s="2"/>
      <c r="S387" s="9"/>
      <c r="T387" s="9"/>
    </row>
    <row r="388" spans="6:20" x14ac:dyDescent="0.35">
      <c r="F388" s="2"/>
      <c r="G388" s="2"/>
      <c r="H388" s="2"/>
      <c r="I388" s="2"/>
      <c r="J388" s="2"/>
      <c r="K388" s="2"/>
      <c r="L388" s="2"/>
      <c r="M388" s="2"/>
      <c r="Q388" s="2"/>
      <c r="R388" s="2"/>
      <c r="S388" s="9"/>
      <c r="T388" s="9"/>
    </row>
    <row r="389" spans="6:20" x14ac:dyDescent="0.35">
      <c r="F389" s="2"/>
      <c r="G389" s="2"/>
      <c r="H389" s="2"/>
      <c r="I389" s="2"/>
      <c r="J389" s="2"/>
      <c r="K389" s="2"/>
      <c r="L389" s="2"/>
      <c r="M389" s="2"/>
      <c r="Q389" s="2"/>
      <c r="R389" s="2"/>
      <c r="S389" s="9"/>
      <c r="T389" s="9"/>
    </row>
    <row r="390" spans="6:20" x14ac:dyDescent="0.35">
      <c r="F390" s="2"/>
      <c r="G390" s="2"/>
      <c r="H390" s="2"/>
      <c r="I390" s="2"/>
      <c r="J390" s="2"/>
      <c r="K390" s="2"/>
      <c r="L390" s="2"/>
      <c r="M390" s="2"/>
      <c r="Q390" s="2"/>
      <c r="R390" s="2"/>
      <c r="S390" s="9"/>
      <c r="T390" s="9"/>
    </row>
    <row r="391" spans="6:20" x14ac:dyDescent="0.35">
      <c r="F391" s="2"/>
      <c r="G391" s="2"/>
      <c r="H391" s="2"/>
      <c r="I391" s="2"/>
      <c r="J391" s="2"/>
      <c r="K391" s="2"/>
      <c r="L391" s="2"/>
      <c r="M391" s="2"/>
      <c r="Q391" s="2"/>
      <c r="R391" s="2"/>
      <c r="S391" s="9"/>
      <c r="T391" s="9"/>
    </row>
    <row r="392" spans="6:20" x14ac:dyDescent="0.35">
      <c r="F392" s="2"/>
      <c r="G392" s="2"/>
      <c r="H392" s="2"/>
      <c r="I392" s="2"/>
      <c r="J392" s="2"/>
      <c r="K392" s="2"/>
      <c r="L392" s="2"/>
      <c r="M392" s="2"/>
      <c r="Q392" s="2"/>
      <c r="R392" s="2"/>
      <c r="S392" s="9"/>
      <c r="T392" s="9"/>
    </row>
    <row r="393" spans="6:20" x14ac:dyDescent="0.35">
      <c r="F393" s="2"/>
      <c r="G393" s="2"/>
      <c r="H393" s="2"/>
      <c r="I393" s="2"/>
      <c r="J393" s="2"/>
      <c r="K393" s="2"/>
      <c r="L393" s="2"/>
      <c r="M393" s="2"/>
      <c r="Q393" s="2"/>
      <c r="R393" s="2"/>
      <c r="S393" s="9"/>
      <c r="T393" s="9"/>
    </row>
    <row r="394" spans="6:20" x14ac:dyDescent="0.35">
      <c r="F394" s="2"/>
      <c r="G394" s="2"/>
      <c r="H394" s="2"/>
      <c r="I394" s="2"/>
      <c r="J394" s="2"/>
      <c r="K394" s="2"/>
      <c r="L394" s="2"/>
      <c r="M394" s="2"/>
      <c r="Q394" s="2"/>
      <c r="R394" s="2"/>
      <c r="S394" s="9"/>
      <c r="T394" s="9"/>
    </row>
    <row r="395" spans="6:20" x14ac:dyDescent="0.35">
      <c r="F395" s="2"/>
      <c r="G395" s="2"/>
      <c r="H395" s="2"/>
      <c r="I395" s="2"/>
      <c r="J395" s="2"/>
      <c r="K395" s="2"/>
      <c r="L395" s="2"/>
      <c r="M395" s="2"/>
      <c r="Q395" s="2"/>
      <c r="R395" s="2"/>
      <c r="S395" s="9"/>
      <c r="T395" s="9"/>
    </row>
    <row r="396" spans="6:20" x14ac:dyDescent="0.35">
      <c r="F396" s="2"/>
      <c r="G396" s="2"/>
      <c r="H396" s="2"/>
      <c r="I396" s="2"/>
      <c r="J396" s="2"/>
      <c r="K396" s="2"/>
      <c r="L396" s="2"/>
      <c r="M396" s="2"/>
      <c r="Q396" s="2"/>
      <c r="R396" s="2"/>
      <c r="S396" s="9"/>
      <c r="T396" s="9"/>
    </row>
    <row r="397" spans="6:20" x14ac:dyDescent="0.35">
      <c r="F397" s="2"/>
      <c r="G397" s="2"/>
      <c r="H397" s="2"/>
      <c r="I397" s="2"/>
      <c r="J397" s="2"/>
      <c r="K397" s="2"/>
      <c r="L397" s="2"/>
      <c r="M397" s="2"/>
      <c r="Q397" s="2"/>
      <c r="R397" s="2"/>
      <c r="S397" s="9"/>
      <c r="T397" s="9"/>
    </row>
    <row r="398" spans="6:20" x14ac:dyDescent="0.35">
      <c r="F398" s="2"/>
      <c r="G398" s="2"/>
      <c r="H398" s="2"/>
      <c r="I398" s="2"/>
      <c r="J398" s="2"/>
      <c r="K398" s="2"/>
      <c r="L398" s="2"/>
      <c r="M398" s="2"/>
      <c r="Q398" s="2"/>
      <c r="R398" s="2"/>
      <c r="S398" s="9"/>
      <c r="T398" s="9"/>
    </row>
    <row r="399" spans="6:20" x14ac:dyDescent="0.35">
      <c r="F399" s="2"/>
      <c r="G399" s="2"/>
      <c r="H399" s="2"/>
      <c r="I399" s="2"/>
      <c r="J399" s="2"/>
      <c r="K399" s="2"/>
      <c r="L399" s="2"/>
      <c r="M399" s="2"/>
      <c r="Q399" s="2"/>
      <c r="R399" s="2"/>
      <c r="S399" s="9"/>
      <c r="T399" s="9"/>
    </row>
    <row r="400" spans="6:20" x14ac:dyDescent="0.35">
      <c r="F400" s="2"/>
      <c r="G400" s="2"/>
      <c r="H400" s="2"/>
      <c r="I400" s="2"/>
      <c r="J400" s="2"/>
      <c r="K400" s="2"/>
      <c r="L400" s="2"/>
      <c r="M400" s="2"/>
      <c r="Q400" s="2"/>
      <c r="R400" s="2"/>
      <c r="S400" s="9"/>
      <c r="T400" s="9"/>
    </row>
    <row r="401" spans="6:20" x14ac:dyDescent="0.35">
      <c r="F401" s="2"/>
      <c r="G401" s="2"/>
      <c r="H401" s="2"/>
      <c r="I401" s="2"/>
      <c r="J401" s="2"/>
      <c r="K401" s="2"/>
      <c r="L401" s="2"/>
      <c r="M401" s="2"/>
      <c r="Q401" s="2"/>
      <c r="R401" s="2"/>
      <c r="S401" s="9"/>
      <c r="T401" s="9"/>
    </row>
    <row r="402" spans="6:20" x14ac:dyDescent="0.35">
      <c r="F402" s="2"/>
      <c r="G402" s="2"/>
      <c r="H402" s="2"/>
      <c r="I402" s="2"/>
      <c r="J402" s="2"/>
      <c r="K402" s="2"/>
      <c r="L402" s="2"/>
      <c r="M402" s="2"/>
      <c r="Q402" s="2"/>
      <c r="R402" s="2"/>
      <c r="S402" s="9"/>
      <c r="T402" s="9"/>
    </row>
    <row r="403" spans="6:20" x14ac:dyDescent="0.35">
      <c r="F403" s="2"/>
      <c r="G403" s="2"/>
      <c r="H403" s="2"/>
      <c r="I403" s="2"/>
      <c r="J403" s="2"/>
      <c r="K403" s="2"/>
      <c r="L403" s="2"/>
      <c r="M403" s="2"/>
      <c r="Q403" s="2"/>
      <c r="R403" s="2"/>
      <c r="S403" s="9"/>
      <c r="T403" s="9"/>
    </row>
    <row r="404" spans="6:20" x14ac:dyDescent="0.35">
      <c r="F404" s="2"/>
      <c r="G404" s="2"/>
      <c r="H404" s="2"/>
      <c r="I404" s="2"/>
      <c r="J404" s="2"/>
      <c r="K404" s="2"/>
      <c r="L404" s="2"/>
      <c r="M404" s="2"/>
      <c r="Q404" s="2"/>
      <c r="R404" s="2"/>
      <c r="S404" s="9"/>
      <c r="T404" s="9"/>
    </row>
    <row r="405" spans="6:20" x14ac:dyDescent="0.35">
      <c r="F405" s="2"/>
      <c r="G405" s="2"/>
      <c r="H405" s="2"/>
      <c r="I405" s="2"/>
      <c r="J405" s="2"/>
      <c r="K405" s="2"/>
      <c r="L405" s="2"/>
      <c r="M405" s="2"/>
      <c r="Q405" s="2"/>
      <c r="R405" s="2"/>
      <c r="S405" s="9"/>
      <c r="T405" s="9"/>
    </row>
    <row r="406" spans="6:20" x14ac:dyDescent="0.35">
      <c r="F406" s="2"/>
      <c r="G406" s="2"/>
      <c r="H406" s="2"/>
      <c r="I406" s="2"/>
      <c r="J406" s="2"/>
      <c r="K406" s="2"/>
      <c r="L406" s="2"/>
      <c r="M406" s="2"/>
      <c r="Q406" s="2"/>
      <c r="R406" s="2"/>
      <c r="S406" s="9"/>
      <c r="T406" s="9"/>
    </row>
    <row r="407" spans="6:20" x14ac:dyDescent="0.35">
      <c r="F407" s="2"/>
      <c r="G407" s="2"/>
      <c r="H407" s="2"/>
      <c r="I407" s="2"/>
      <c r="J407" s="2"/>
      <c r="K407" s="2"/>
      <c r="L407" s="2"/>
      <c r="M407" s="2"/>
      <c r="Q407" s="2"/>
      <c r="R407" s="2"/>
      <c r="S407" s="9"/>
      <c r="T407" s="9"/>
    </row>
    <row r="408" spans="6:20" x14ac:dyDescent="0.35">
      <c r="F408" s="2"/>
      <c r="G408" s="2"/>
      <c r="H408" s="2"/>
      <c r="I408" s="2"/>
      <c r="J408" s="2"/>
      <c r="K408" s="2"/>
      <c r="L408" s="2"/>
      <c r="M408" s="2"/>
      <c r="Q408" s="2"/>
      <c r="R408" s="2"/>
      <c r="S408" s="9"/>
      <c r="T408" s="9"/>
    </row>
    <row r="409" spans="6:20" x14ac:dyDescent="0.35">
      <c r="F409" s="2"/>
      <c r="G409" s="2"/>
      <c r="H409" s="2"/>
      <c r="I409" s="2"/>
      <c r="J409" s="2"/>
      <c r="K409" s="2"/>
      <c r="L409" s="2"/>
      <c r="M409" s="2"/>
      <c r="Q409" s="2"/>
      <c r="R409" s="2"/>
      <c r="S409" s="9"/>
      <c r="T409" s="9"/>
    </row>
    <row r="410" spans="6:20" x14ac:dyDescent="0.35">
      <c r="F410" s="2"/>
      <c r="G410" s="2"/>
      <c r="H410" s="2"/>
      <c r="I410" s="2"/>
      <c r="J410" s="2"/>
      <c r="K410" s="2"/>
      <c r="L410" s="2"/>
      <c r="M410" s="2"/>
      <c r="Q410" s="2"/>
      <c r="R410" s="2"/>
      <c r="S410" s="9"/>
      <c r="T410" s="9"/>
    </row>
    <row r="411" spans="6:20" x14ac:dyDescent="0.35">
      <c r="F411" s="2"/>
      <c r="G411" s="2"/>
      <c r="H411" s="2"/>
      <c r="I411" s="2"/>
      <c r="J411" s="2"/>
      <c r="K411" s="2"/>
      <c r="L411" s="2"/>
      <c r="M411" s="2"/>
      <c r="Q411" s="2"/>
      <c r="R411" s="2"/>
      <c r="S411" s="9"/>
      <c r="T411" s="9"/>
    </row>
    <row r="412" spans="6:20" x14ac:dyDescent="0.35">
      <c r="F412" s="2"/>
      <c r="G412" s="2"/>
      <c r="H412" s="2"/>
      <c r="I412" s="2"/>
      <c r="J412" s="2"/>
      <c r="K412" s="2"/>
      <c r="L412" s="2"/>
      <c r="M412" s="2"/>
      <c r="Q412" s="2"/>
      <c r="R412" s="2"/>
      <c r="S412" s="9"/>
      <c r="T412" s="9"/>
    </row>
    <row r="413" spans="6:20" x14ac:dyDescent="0.35">
      <c r="F413" s="2"/>
      <c r="G413" s="2"/>
      <c r="H413" s="2"/>
      <c r="I413" s="2"/>
      <c r="J413" s="2"/>
      <c r="K413" s="2"/>
      <c r="L413" s="2"/>
      <c r="M413" s="2"/>
      <c r="Q413" s="2"/>
      <c r="R413" s="2"/>
      <c r="S413" s="9"/>
      <c r="T413" s="9"/>
    </row>
    <row r="414" spans="6:20" x14ac:dyDescent="0.35">
      <c r="F414" s="2"/>
      <c r="G414" s="2"/>
      <c r="H414" s="2"/>
      <c r="I414" s="2"/>
      <c r="J414" s="2"/>
      <c r="K414" s="2"/>
      <c r="L414" s="2"/>
      <c r="M414" s="2"/>
      <c r="Q414" s="2"/>
      <c r="R414" s="2"/>
      <c r="S414" s="9"/>
      <c r="T414" s="9"/>
    </row>
    <row r="415" spans="6:20" x14ac:dyDescent="0.35">
      <c r="F415" s="2"/>
      <c r="G415" s="2"/>
      <c r="H415" s="2"/>
      <c r="I415" s="2"/>
      <c r="J415" s="2"/>
      <c r="K415" s="2"/>
      <c r="L415" s="2"/>
      <c r="M415" s="2"/>
      <c r="Q415" s="2"/>
      <c r="R415" s="2"/>
      <c r="S415" s="9"/>
      <c r="T415" s="9"/>
    </row>
    <row r="416" spans="6:20" x14ac:dyDescent="0.35">
      <c r="F416" s="2"/>
      <c r="G416" s="2"/>
      <c r="H416" s="2"/>
      <c r="I416" s="2"/>
      <c r="J416" s="2"/>
      <c r="K416" s="2"/>
      <c r="L416" s="2"/>
      <c r="M416" s="2"/>
      <c r="Q416" s="2"/>
      <c r="R416" s="2"/>
      <c r="S416" s="9"/>
      <c r="T416" s="9"/>
    </row>
    <row r="417" spans="6:20" x14ac:dyDescent="0.35">
      <c r="F417" s="2"/>
      <c r="G417" s="2"/>
      <c r="H417" s="2"/>
      <c r="I417" s="2"/>
      <c r="J417" s="2"/>
      <c r="K417" s="2"/>
      <c r="L417" s="2"/>
      <c r="M417" s="2"/>
      <c r="Q417" s="2"/>
      <c r="R417" s="2"/>
      <c r="S417" s="9"/>
      <c r="T417" s="9"/>
    </row>
    <row r="418" spans="6:20" x14ac:dyDescent="0.35">
      <c r="F418" s="2"/>
      <c r="G418" s="2"/>
      <c r="H418" s="2"/>
      <c r="I418" s="2"/>
      <c r="J418" s="2"/>
      <c r="K418" s="2"/>
      <c r="L418" s="2"/>
      <c r="M418" s="2"/>
      <c r="Q418" s="2"/>
      <c r="R418" s="2"/>
      <c r="S418" s="9"/>
      <c r="T418" s="9"/>
    </row>
    <row r="419" spans="6:20" x14ac:dyDescent="0.35">
      <c r="F419" s="2"/>
      <c r="G419" s="2"/>
      <c r="H419" s="2"/>
      <c r="I419" s="2"/>
      <c r="J419" s="2"/>
      <c r="K419" s="2"/>
      <c r="L419" s="2"/>
      <c r="M419" s="2"/>
      <c r="Q419" s="2"/>
      <c r="R419" s="2"/>
      <c r="S419" s="9"/>
      <c r="T419" s="9"/>
    </row>
    <row r="420" spans="6:20" x14ac:dyDescent="0.35">
      <c r="F420" s="2"/>
      <c r="G420" s="2"/>
      <c r="H420" s="2"/>
      <c r="I420" s="2"/>
      <c r="J420" s="2"/>
      <c r="K420" s="2"/>
      <c r="L420" s="2"/>
      <c r="M420" s="2"/>
      <c r="Q420" s="2"/>
      <c r="R420" s="2"/>
      <c r="S420" s="9"/>
      <c r="T420" s="9"/>
    </row>
    <row r="421" spans="6:20" x14ac:dyDescent="0.35">
      <c r="F421" s="2"/>
      <c r="G421" s="2"/>
      <c r="H421" s="2"/>
      <c r="I421" s="2"/>
      <c r="J421" s="2"/>
      <c r="K421" s="2"/>
      <c r="L421" s="2"/>
      <c r="M421" s="2"/>
      <c r="Q421" s="2"/>
      <c r="R421" s="2"/>
      <c r="S421" s="9"/>
      <c r="T421" s="9"/>
    </row>
    <row r="422" spans="6:20" x14ac:dyDescent="0.35">
      <c r="F422" s="2"/>
      <c r="G422" s="2"/>
      <c r="H422" s="2"/>
      <c r="I422" s="2"/>
      <c r="J422" s="2"/>
      <c r="K422" s="2"/>
      <c r="L422" s="2"/>
      <c r="M422" s="2"/>
      <c r="Q422" s="2"/>
      <c r="R422" s="2"/>
      <c r="S422" s="9"/>
      <c r="T422" s="9"/>
    </row>
    <row r="423" spans="6:20" x14ac:dyDescent="0.35">
      <c r="F423" s="2"/>
      <c r="G423" s="2"/>
      <c r="H423" s="2"/>
      <c r="I423" s="2"/>
      <c r="J423" s="2"/>
      <c r="K423" s="2"/>
      <c r="L423" s="2"/>
      <c r="M423" s="2"/>
      <c r="Q423" s="2"/>
      <c r="R423" s="2"/>
      <c r="S423" s="9"/>
      <c r="T423" s="9"/>
    </row>
    <row r="424" spans="6:20" x14ac:dyDescent="0.35">
      <c r="F424" s="2"/>
      <c r="G424" s="2"/>
      <c r="H424" s="2"/>
      <c r="I424" s="2"/>
      <c r="J424" s="2"/>
      <c r="K424" s="2"/>
      <c r="L424" s="2"/>
      <c r="M424" s="2"/>
      <c r="Q424" s="2"/>
      <c r="R424" s="2"/>
      <c r="S424" s="9"/>
      <c r="T424" s="9"/>
    </row>
    <row r="425" spans="6:20" x14ac:dyDescent="0.35">
      <c r="F425" s="2"/>
      <c r="G425" s="2"/>
      <c r="H425" s="2"/>
      <c r="I425" s="2"/>
      <c r="J425" s="2"/>
      <c r="K425" s="2"/>
      <c r="L425" s="2"/>
      <c r="M425" s="2"/>
      <c r="Q425" s="2"/>
      <c r="R425" s="2"/>
      <c r="S425" s="9"/>
      <c r="T425" s="9"/>
    </row>
    <row r="426" spans="6:20" x14ac:dyDescent="0.35">
      <c r="F426" s="2"/>
      <c r="G426" s="2"/>
      <c r="H426" s="2"/>
      <c r="I426" s="2"/>
      <c r="J426" s="2"/>
      <c r="K426" s="2"/>
      <c r="L426" s="2"/>
      <c r="M426" s="2"/>
      <c r="Q426" s="2"/>
      <c r="R426" s="2"/>
      <c r="S426" s="9"/>
      <c r="T426" s="9"/>
    </row>
    <row r="427" spans="6:20" x14ac:dyDescent="0.35">
      <c r="F427" s="2"/>
      <c r="G427" s="2"/>
      <c r="H427" s="2"/>
      <c r="I427" s="2"/>
      <c r="J427" s="2"/>
      <c r="K427" s="2"/>
      <c r="L427" s="2"/>
      <c r="M427" s="2"/>
      <c r="Q427" s="2"/>
      <c r="R427" s="2"/>
      <c r="S427" s="9"/>
      <c r="T427" s="9"/>
    </row>
    <row r="428" spans="6:20" x14ac:dyDescent="0.35">
      <c r="F428" s="2"/>
      <c r="G428" s="2"/>
      <c r="H428" s="2"/>
      <c r="I428" s="2"/>
      <c r="J428" s="2"/>
      <c r="K428" s="2"/>
      <c r="L428" s="2"/>
      <c r="M428" s="2"/>
      <c r="Q428" s="2"/>
      <c r="R428" s="2"/>
      <c r="S428" s="9"/>
      <c r="T428" s="9"/>
    </row>
    <row r="429" spans="6:20" x14ac:dyDescent="0.35">
      <c r="F429" s="2"/>
      <c r="G429" s="2"/>
      <c r="H429" s="2"/>
      <c r="I429" s="2"/>
      <c r="J429" s="2"/>
      <c r="K429" s="2"/>
      <c r="L429" s="2"/>
      <c r="M429" s="2"/>
      <c r="Q429" s="2"/>
      <c r="R429" s="2"/>
      <c r="S429" s="9"/>
      <c r="T429" s="9"/>
    </row>
    <row r="430" spans="6:20" x14ac:dyDescent="0.35">
      <c r="F430" s="2"/>
      <c r="G430" s="2"/>
      <c r="H430" s="2"/>
      <c r="I430" s="2"/>
      <c r="J430" s="2"/>
      <c r="K430" s="2"/>
      <c r="L430" s="2"/>
      <c r="M430" s="2"/>
      <c r="Q430" s="2"/>
      <c r="R430" s="2"/>
      <c r="S430" s="9"/>
      <c r="T430" s="9"/>
    </row>
    <row r="431" spans="6:20" x14ac:dyDescent="0.35">
      <c r="F431" s="2"/>
      <c r="G431" s="2"/>
      <c r="H431" s="2"/>
      <c r="I431" s="2"/>
      <c r="J431" s="2"/>
      <c r="K431" s="2"/>
      <c r="L431" s="2"/>
      <c r="M431" s="2"/>
      <c r="Q431" s="2"/>
      <c r="R431" s="2"/>
      <c r="S431" s="9"/>
      <c r="T431" s="9"/>
    </row>
    <row r="432" spans="6:20" x14ac:dyDescent="0.35">
      <c r="F432" s="2"/>
      <c r="G432" s="2"/>
      <c r="H432" s="2"/>
      <c r="I432" s="2"/>
      <c r="J432" s="2"/>
      <c r="K432" s="2"/>
      <c r="L432" s="2"/>
      <c r="M432" s="2"/>
      <c r="Q432" s="2"/>
      <c r="R432" s="2"/>
      <c r="S432" s="9"/>
      <c r="T432" s="9"/>
    </row>
    <row r="433" spans="6:20" x14ac:dyDescent="0.35">
      <c r="F433" s="2"/>
      <c r="G433" s="2"/>
      <c r="H433" s="2"/>
      <c r="I433" s="2"/>
      <c r="J433" s="2"/>
      <c r="K433" s="2"/>
      <c r="L433" s="2"/>
      <c r="M433" s="2"/>
      <c r="Q433" s="2"/>
      <c r="R433" s="2"/>
      <c r="S433" s="9"/>
      <c r="T433" s="9"/>
    </row>
    <row r="434" spans="6:20" x14ac:dyDescent="0.35">
      <c r="F434" s="2"/>
      <c r="G434" s="2"/>
      <c r="H434" s="2"/>
      <c r="I434" s="2"/>
      <c r="J434" s="2"/>
      <c r="K434" s="2"/>
      <c r="L434" s="2"/>
      <c r="M434" s="2"/>
      <c r="Q434" s="2"/>
      <c r="R434" s="2"/>
      <c r="S434" s="9"/>
      <c r="T434" s="9"/>
    </row>
    <row r="435" spans="6:20" x14ac:dyDescent="0.35">
      <c r="F435" s="2"/>
      <c r="G435" s="2"/>
      <c r="H435" s="2"/>
      <c r="I435" s="2"/>
      <c r="J435" s="2"/>
      <c r="K435" s="2"/>
      <c r="L435" s="2"/>
      <c r="M435" s="2"/>
      <c r="Q435" s="2"/>
      <c r="R435" s="2"/>
      <c r="S435" s="9"/>
      <c r="T435" s="9"/>
    </row>
    <row r="436" spans="6:20" x14ac:dyDescent="0.35">
      <c r="F436" s="2"/>
      <c r="G436" s="2"/>
      <c r="H436" s="2"/>
      <c r="I436" s="2"/>
      <c r="J436" s="2"/>
      <c r="K436" s="2"/>
      <c r="L436" s="2"/>
      <c r="M436" s="2"/>
      <c r="Q436" s="2"/>
      <c r="R436" s="2"/>
      <c r="S436" s="9"/>
      <c r="T436" s="9"/>
    </row>
    <row r="437" spans="6:20" x14ac:dyDescent="0.35">
      <c r="F437" s="2"/>
      <c r="G437" s="2"/>
      <c r="H437" s="2"/>
      <c r="I437" s="2"/>
      <c r="J437" s="2"/>
      <c r="K437" s="2"/>
      <c r="L437" s="2"/>
      <c r="M437" s="2"/>
      <c r="Q437" s="2"/>
      <c r="R437" s="2"/>
      <c r="S437" s="9"/>
      <c r="T437" s="9"/>
    </row>
    <row r="438" spans="6:20" x14ac:dyDescent="0.35">
      <c r="F438" s="2"/>
      <c r="G438" s="2"/>
      <c r="H438" s="2"/>
      <c r="I438" s="2"/>
      <c r="J438" s="2"/>
      <c r="K438" s="2"/>
      <c r="L438" s="2"/>
      <c r="M438" s="2"/>
      <c r="Q438" s="2"/>
      <c r="R438" s="2"/>
      <c r="S438" s="9"/>
      <c r="T438" s="9"/>
    </row>
    <row r="439" spans="6:20" x14ac:dyDescent="0.35">
      <c r="F439" s="2"/>
      <c r="G439" s="2"/>
      <c r="H439" s="2"/>
      <c r="I439" s="2"/>
      <c r="J439" s="2"/>
      <c r="K439" s="2"/>
      <c r="L439" s="2"/>
      <c r="M439" s="2"/>
      <c r="Q439" s="2"/>
      <c r="R439" s="2"/>
      <c r="S439" s="9"/>
      <c r="T439" s="9"/>
    </row>
    <row r="440" spans="6:20" x14ac:dyDescent="0.35">
      <c r="F440" s="2"/>
      <c r="G440" s="2"/>
      <c r="H440" s="2"/>
      <c r="I440" s="2"/>
      <c r="J440" s="2"/>
      <c r="K440" s="2"/>
      <c r="L440" s="2"/>
      <c r="M440" s="2"/>
      <c r="Q440" s="2"/>
      <c r="R440" s="2"/>
      <c r="S440" s="9"/>
      <c r="T440" s="9"/>
    </row>
    <row r="441" spans="6:20" x14ac:dyDescent="0.35">
      <c r="F441" s="2"/>
      <c r="G441" s="2"/>
      <c r="H441" s="2"/>
      <c r="I441" s="2"/>
      <c r="J441" s="2"/>
      <c r="K441" s="2"/>
      <c r="L441" s="2"/>
      <c r="M441" s="2"/>
      <c r="Q441" s="2"/>
      <c r="R441" s="2"/>
      <c r="S441" s="9"/>
      <c r="T441" s="9"/>
    </row>
    <row r="442" spans="6:20" x14ac:dyDescent="0.35">
      <c r="F442" s="2"/>
      <c r="G442" s="2"/>
      <c r="H442" s="2"/>
      <c r="I442" s="2"/>
      <c r="J442" s="2"/>
      <c r="K442" s="2"/>
      <c r="L442" s="2"/>
      <c r="M442" s="2"/>
      <c r="Q442" s="2"/>
      <c r="R442" s="2"/>
      <c r="S442" s="9"/>
      <c r="T442" s="9"/>
    </row>
    <row r="443" spans="6:20" x14ac:dyDescent="0.35">
      <c r="F443" s="2"/>
      <c r="G443" s="2"/>
      <c r="H443" s="2"/>
      <c r="I443" s="2"/>
      <c r="J443" s="2"/>
      <c r="K443" s="2"/>
      <c r="L443" s="2"/>
      <c r="M443" s="2"/>
      <c r="Q443" s="2"/>
      <c r="R443" s="2"/>
      <c r="S443" s="9"/>
      <c r="T443" s="9"/>
    </row>
    <row r="444" spans="6:20" x14ac:dyDescent="0.35">
      <c r="F444" s="2"/>
      <c r="G444" s="2"/>
      <c r="H444" s="2"/>
      <c r="I444" s="2"/>
      <c r="J444" s="2"/>
      <c r="K444" s="2"/>
      <c r="L444" s="2"/>
      <c r="M444" s="2"/>
      <c r="Q444" s="2"/>
      <c r="R444" s="2"/>
      <c r="S444" s="9"/>
      <c r="T444" s="9"/>
    </row>
    <row r="445" spans="6:20" x14ac:dyDescent="0.35">
      <c r="F445" s="2"/>
      <c r="G445" s="2"/>
      <c r="H445" s="2"/>
      <c r="I445" s="2"/>
      <c r="J445" s="2"/>
      <c r="K445" s="2"/>
      <c r="L445" s="2"/>
      <c r="M445" s="2"/>
      <c r="Q445" s="2"/>
      <c r="R445" s="2"/>
      <c r="S445" s="9"/>
      <c r="T445" s="9"/>
    </row>
    <row r="446" spans="6:20" x14ac:dyDescent="0.35">
      <c r="F446" s="2"/>
      <c r="G446" s="2"/>
      <c r="H446" s="2"/>
      <c r="I446" s="2"/>
      <c r="J446" s="2"/>
      <c r="K446" s="2"/>
      <c r="L446" s="2"/>
      <c r="M446" s="2"/>
      <c r="Q446" s="2"/>
      <c r="R446" s="2"/>
      <c r="S446" s="9"/>
      <c r="T446" s="9"/>
    </row>
    <row r="447" spans="6:20" x14ac:dyDescent="0.35">
      <c r="F447" s="2"/>
      <c r="G447" s="2"/>
      <c r="H447" s="2"/>
      <c r="I447" s="2"/>
      <c r="J447" s="2"/>
      <c r="K447" s="2"/>
      <c r="L447" s="2"/>
      <c r="M447" s="2"/>
      <c r="Q447" s="2"/>
      <c r="R447" s="2"/>
      <c r="S447" s="9"/>
      <c r="T447" s="9"/>
    </row>
    <row r="448" spans="6:20" x14ac:dyDescent="0.35">
      <c r="F448" s="2"/>
      <c r="G448" s="2"/>
      <c r="H448" s="2"/>
      <c r="I448" s="2"/>
      <c r="J448" s="2"/>
      <c r="K448" s="2"/>
      <c r="L448" s="2"/>
      <c r="M448" s="2"/>
      <c r="Q448" s="2"/>
      <c r="R448" s="2"/>
      <c r="S448" s="9"/>
      <c r="T448" s="9"/>
    </row>
    <row r="449" spans="6:20" x14ac:dyDescent="0.35">
      <c r="F449" s="2"/>
      <c r="G449" s="2"/>
      <c r="H449" s="2"/>
      <c r="I449" s="2"/>
      <c r="J449" s="2"/>
      <c r="K449" s="2"/>
      <c r="L449" s="2"/>
      <c r="M449" s="2"/>
      <c r="Q449" s="2"/>
      <c r="R449" s="2"/>
      <c r="S449" s="9"/>
      <c r="T449" s="9"/>
    </row>
    <row r="450" spans="6:20" x14ac:dyDescent="0.35">
      <c r="F450" s="2"/>
      <c r="G450" s="2"/>
      <c r="H450" s="2"/>
      <c r="I450" s="2"/>
      <c r="J450" s="2"/>
      <c r="K450" s="2"/>
      <c r="L450" s="2"/>
      <c r="M450" s="2"/>
      <c r="Q450" s="2"/>
      <c r="R450" s="2"/>
      <c r="S450" s="9"/>
      <c r="T450" s="9"/>
    </row>
    <row r="451" spans="6:20" x14ac:dyDescent="0.35">
      <c r="F451" s="2"/>
      <c r="G451" s="2"/>
      <c r="H451" s="2"/>
      <c r="I451" s="2"/>
      <c r="J451" s="2"/>
      <c r="K451" s="2"/>
      <c r="L451" s="2"/>
      <c r="M451" s="2"/>
      <c r="Q451" s="2"/>
      <c r="R451" s="2"/>
      <c r="S451" s="9"/>
      <c r="T451" s="9"/>
    </row>
    <row r="452" spans="6:20" x14ac:dyDescent="0.35">
      <c r="F452" s="2"/>
      <c r="G452" s="2"/>
      <c r="H452" s="2"/>
      <c r="I452" s="2"/>
      <c r="J452" s="2"/>
      <c r="K452" s="2"/>
      <c r="L452" s="2"/>
      <c r="M452" s="2"/>
      <c r="Q452" s="2"/>
      <c r="R452" s="2"/>
      <c r="S452" s="9"/>
      <c r="T452" s="9"/>
    </row>
    <row r="453" spans="6:20" x14ac:dyDescent="0.35">
      <c r="F453" s="2"/>
      <c r="G453" s="2"/>
      <c r="H453" s="2"/>
      <c r="I453" s="2"/>
      <c r="J453" s="2"/>
      <c r="K453" s="2"/>
      <c r="L453" s="2"/>
      <c r="M453" s="2"/>
      <c r="Q453" s="2"/>
      <c r="R453" s="2"/>
      <c r="S453" s="9"/>
      <c r="T453" s="9"/>
    </row>
    <row r="454" spans="6:20" x14ac:dyDescent="0.35">
      <c r="F454" s="2"/>
      <c r="G454" s="2"/>
      <c r="H454" s="2"/>
      <c r="I454" s="2"/>
      <c r="J454" s="2"/>
      <c r="K454" s="2"/>
      <c r="L454" s="2"/>
      <c r="M454" s="2"/>
      <c r="Q454" s="2"/>
      <c r="R454" s="2"/>
      <c r="S454" s="9"/>
      <c r="T454" s="9"/>
    </row>
    <row r="455" spans="6:20" x14ac:dyDescent="0.35">
      <c r="F455" s="2"/>
      <c r="G455" s="2"/>
      <c r="H455" s="2"/>
      <c r="I455" s="2"/>
      <c r="J455" s="2"/>
      <c r="K455" s="2"/>
      <c r="L455" s="2"/>
      <c r="M455" s="2"/>
      <c r="Q455" s="2"/>
      <c r="R455" s="2"/>
      <c r="S455" s="9"/>
      <c r="T455" s="9"/>
    </row>
    <row r="456" spans="6:20" x14ac:dyDescent="0.35">
      <c r="F456" s="2"/>
      <c r="G456" s="2"/>
      <c r="H456" s="2"/>
      <c r="I456" s="2"/>
      <c r="J456" s="2"/>
      <c r="K456" s="2"/>
      <c r="L456" s="2"/>
      <c r="M456" s="2"/>
      <c r="Q456" s="2"/>
      <c r="R456" s="2"/>
      <c r="S456" s="9"/>
      <c r="T456" s="9"/>
    </row>
    <row r="457" spans="6:20" x14ac:dyDescent="0.35">
      <c r="F457" s="2"/>
      <c r="G457" s="2"/>
      <c r="H457" s="2"/>
      <c r="I457" s="2"/>
      <c r="J457" s="2"/>
      <c r="K457" s="2"/>
      <c r="L457" s="2"/>
      <c r="M457" s="2"/>
      <c r="Q457" s="2"/>
      <c r="R457" s="2"/>
      <c r="S457" s="9"/>
      <c r="T457" s="9"/>
    </row>
    <row r="458" spans="6:20" x14ac:dyDescent="0.35">
      <c r="F458" s="2"/>
      <c r="G458" s="2"/>
      <c r="H458" s="2"/>
      <c r="I458" s="2"/>
      <c r="J458" s="2"/>
      <c r="K458" s="2"/>
      <c r="L458" s="2"/>
      <c r="M458" s="2"/>
      <c r="Q458" s="2"/>
      <c r="R458" s="2"/>
      <c r="S458" s="9"/>
      <c r="T458" s="9"/>
    </row>
    <row r="459" spans="6:20" x14ac:dyDescent="0.35">
      <c r="F459" s="2"/>
      <c r="G459" s="2"/>
      <c r="H459" s="2"/>
      <c r="I459" s="2"/>
      <c r="J459" s="2"/>
      <c r="K459" s="2"/>
      <c r="L459" s="2"/>
      <c r="M459" s="2"/>
      <c r="Q459" s="2"/>
      <c r="R459" s="2"/>
      <c r="S459" s="9"/>
      <c r="T459" s="9"/>
    </row>
    <row r="460" spans="6:20" x14ac:dyDescent="0.35">
      <c r="F460" s="2"/>
      <c r="G460" s="2"/>
      <c r="H460" s="2"/>
      <c r="I460" s="2"/>
      <c r="J460" s="2"/>
      <c r="K460" s="2"/>
      <c r="L460" s="2"/>
      <c r="M460" s="2"/>
      <c r="Q460" s="2"/>
      <c r="R460" s="2"/>
      <c r="S460" s="9"/>
      <c r="T460" s="9"/>
    </row>
    <row r="461" spans="6:20" x14ac:dyDescent="0.35">
      <c r="F461" s="2"/>
      <c r="G461" s="2"/>
      <c r="H461" s="2"/>
      <c r="I461" s="2"/>
      <c r="J461" s="2"/>
      <c r="K461" s="2"/>
      <c r="L461" s="2"/>
      <c r="M461" s="2"/>
      <c r="Q461" s="2"/>
      <c r="R461" s="2"/>
      <c r="S461" s="9"/>
      <c r="T461" s="9"/>
    </row>
    <row r="462" spans="6:20" x14ac:dyDescent="0.35">
      <c r="F462" s="2"/>
      <c r="G462" s="2"/>
      <c r="H462" s="2"/>
      <c r="I462" s="2"/>
      <c r="J462" s="2"/>
      <c r="K462" s="2"/>
      <c r="L462" s="2"/>
      <c r="M462" s="2"/>
      <c r="Q462" s="2"/>
      <c r="R462" s="2"/>
      <c r="S462" s="9"/>
      <c r="T462" s="9"/>
    </row>
    <row r="463" spans="6:20" x14ac:dyDescent="0.35">
      <c r="F463" s="2"/>
      <c r="G463" s="2"/>
      <c r="H463" s="2"/>
      <c r="I463" s="2"/>
      <c r="J463" s="2"/>
      <c r="K463" s="2"/>
      <c r="L463" s="2"/>
      <c r="M463" s="2"/>
      <c r="Q463" s="2"/>
      <c r="R463" s="2"/>
      <c r="S463" s="9"/>
      <c r="T463" s="9"/>
    </row>
    <row r="464" spans="6:20" x14ac:dyDescent="0.35">
      <c r="F464" s="2"/>
      <c r="G464" s="2"/>
      <c r="H464" s="2"/>
      <c r="I464" s="2"/>
      <c r="J464" s="2"/>
      <c r="K464" s="2"/>
      <c r="L464" s="2"/>
      <c r="M464" s="2"/>
      <c r="Q464" s="2"/>
      <c r="R464" s="2"/>
      <c r="S464" s="9"/>
      <c r="T464" s="9"/>
    </row>
    <row r="465" spans="6:20" x14ac:dyDescent="0.35">
      <c r="F465" s="2"/>
      <c r="G465" s="2"/>
      <c r="H465" s="2"/>
      <c r="I465" s="2"/>
      <c r="J465" s="2"/>
      <c r="K465" s="2"/>
      <c r="L465" s="2"/>
      <c r="M465" s="2"/>
      <c r="Q465" s="2"/>
      <c r="R465" s="2"/>
      <c r="S465" s="9"/>
      <c r="T465" s="9"/>
    </row>
    <row r="466" spans="6:20" x14ac:dyDescent="0.35">
      <c r="F466" s="2"/>
      <c r="G466" s="2"/>
      <c r="H466" s="2"/>
      <c r="I466" s="2"/>
      <c r="J466" s="2"/>
      <c r="K466" s="2"/>
      <c r="L466" s="2"/>
      <c r="M466" s="2"/>
      <c r="Q466" s="2"/>
      <c r="R466" s="2"/>
      <c r="S466" s="9"/>
      <c r="T466" s="9"/>
    </row>
    <row r="467" spans="6:20" x14ac:dyDescent="0.35">
      <c r="F467" s="2"/>
      <c r="G467" s="2"/>
      <c r="H467" s="2"/>
      <c r="I467" s="2"/>
      <c r="J467" s="2"/>
      <c r="K467" s="2"/>
      <c r="L467" s="2"/>
      <c r="M467" s="2"/>
      <c r="Q467" s="2"/>
      <c r="R467" s="2"/>
      <c r="S467" s="9"/>
      <c r="T467" s="9"/>
    </row>
    <row r="468" spans="6:20" x14ac:dyDescent="0.35">
      <c r="F468" s="2"/>
      <c r="G468" s="2"/>
      <c r="H468" s="2"/>
      <c r="I468" s="2"/>
      <c r="J468" s="2"/>
      <c r="K468" s="2"/>
      <c r="L468" s="2"/>
      <c r="M468" s="2"/>
      <c r="Q468" s="2"/>
      <c r="R468" s="2"/>
      <c r="S468" s="9"/>
      <c r="T468" s="9"/>
    </row>
    <row r="469" spans="6:20" x14ac:dyDescent="0.35">
      <c r="F469" s="2"/>
      <c r="G469" s="2"/>
      <c r="H469" s="2"/>
      <c r="I469" s="2"/>
      <c r="J469" s="2"/>
      <c r="K469" s="2"/>
      <c r="L469" s="2"/>
      <c r="M469" s="2"/>
      <c r="Q469" s="2"/>
      <c r="R469" s="2"/>
      <c r="S469" s="9"/>
      <c r="T469" s="9"/>
    </row>
    <row r="470" spans="6:20" x14ac:dyDescent="0.35">
      <c r="F470" s="2"/>
      <c r="G470" s="2"/>
      <c r="H470" s="2"/>
      <c r="I470" s="2"/>
      <c r="J470" s="2"/>
      <c r="K470" s="2"/>
      <c r="L470" s="2"/>
      <c r="M470" s="2"/>
      <c r="Q470" s="2"/>
      <c r="R470" s="2"/>
      <c r="S470" s="9"/>
      <c r="T470" s="9"/>
    </row>
    <row r="471" spans="6:20" x14ac:dyDescent="0.35">
      <c r="F471" s="2"/>
      <c r="G471" s="2"/>
      <c r="H471" s="2"/>
      <c r="I471" s="2"/>
      <c r="J471" s="2"/>
      <c r="K471" s="2"/>
      <c r="L471" s="2"/>
      <c r="M471" s="2"/>
      <c r="Q471" s="2"/>
      <c r="R471" s="2"/>
      <c r="S471" s="9"/>
      <c r="T471" s="9"/>
    </row>
    <row r="472" spans="6:20" x14ac:dyDescent="0.35">
      <c r="F472" s="2"/>
      <c r="G472" s="2"/>
      <c r="H472" s="2"/>
      <c r="I472" s="2"/>
      <c r="J472" s="2"/>
      <c r="K472" s="2"/>
      <c r="L472" s="2"/>
      <c r="M472" s="2"/>
      <c r="Q472" s="2"/>
      <c r="R472" s="2"/>
      <c r="S472" s="9"/>
      <c r="T472" s="9"/>
    </row>
    <row r="473" spans="6:20" x14ac:dyDescent="0.35">
      <c r="F473" s="2"/>
      <c r="G473" s="2"/>
      <c r="H473" s="2"/>
      <c r="I473" s="2"/>
      <c r="J473" s="2"/>
      <c r="K473" s="2"/>
      <c r="L473" s="2"/>
      <c r="M473" s="2"/>
      <c r="Q473" s="2"/>
      <c r="R473" s="2"/>
      <c r="S473" s="9"/>
      <c r="T473" s="9"/>
    </row>
    <row r="474" spans="6:20" x14ac:dyDescent="0.35">
      <c r="F474" s="2"/>
      <c r="G474" s="2"/>
      <c r="H474" s="2"/>
      <c r="I474" s="2"/>
      <c r="J474" s="2"/>
      <c r="K474" s="2"/>
      <c r="L474" s="2"/>
      <c r="M474" s="2"/>
      <c r="Q474" s="2"/>
      <c r="R474" s="2"/>
      <c r="S474" s="9"/>
      <c r="T474" s="9"/>
    </row>
    <row r="475" spans="6:20" x14ac:dyDescent="0.35">
      <c r="F475" s="2"/>
      <c r="G475" s="2"/>
      <c r="H475" s="2"/>
      <c r="I475" s="2"/>
      <c r="J475" s="2"/>
      <c r="K475" s="2"/>
      <c r="L475" s="2"/>
      <c r="M475" s="2"/>
      <c r="Q475" s="2"/>
      <c r="R475" s="2"/>
      <c r="S475" s="9"/>
      <c r="T475" s="9"/>
    </row>
    <row r="476" spans="6:20" x14ac:dyDescent="0.35">
      <c r="F476" s="2"/>
      <c r="G476" s="2"/>
      <c r="H476" s="2"/>
      <c r="I476" s="2"/>
      <c r="J476" s="2"/>
      <c r="K476" s="2"/>
      <c r="L476" s="2"/>
      <c r="M476" s="2"/>
      <c r="Q476" s="2"/>
      <c r="R476" s="2"/>
      <c r="S476" s="9"/>
      <c r="T476" s="9"/>
    </row>
    <row r="477" spans="6:20" x14ac:dyDescent="0.35">
      <c r="F477" s="2"/>
      <c r="G477" s="2"/>
      <c r="H477" s="2"/>
      <c r="I477" s="2"/>
      <c r="J477" s="2"/>
      <c r="K477" s="2"/>
      <c r="L477" s="2"/>
      <c r="M477" s="2"/>
      <c r="Q477" s="2"/>
      <c r="R477" s="2"/>
      <c r="S477" s="9"/>
      <c r="T477" s="9"/>
    </row>
    <row r="478" spans="6:20" x14ac:dyDescent="0.35">
      <c r="F478" s="2"/>
      <c r="G478" s="2"/>
      <c r="H478" s="2"/>
      <c r="I478" s="2"/>
      <c r="J478" s="2"/>
      <c r="K478" s="2"/>
      <c r="L478" s="2"/>
      <c r="M478" s="2"/>
      <c r="Q478" s="2"/>
      <c r="R478" s="2"/>
      <c r="S478" s="9"/>
      <c r="T478" s="9"/>
    </row>
    <row r="479" spans="6:20" x14ac:dyDescent="0.35">
      <c r="F479" s="2"/>
      <c r="G479" s="2"/>
      <c r="H479" s="2"/>
      <c r="I479" s="2"/>
      <c r="J479" s="2"/>
      <c r="K479" s="2"/>
      <c r="L479" s="2"/>
      <c r="M479" s="2"/>
      <c r="Q479" s="2"/>
      <c r="R479" s="2"/>
      <c r="S479" s="9"/>
      <c r="T479" s="9"/>
    </row>
    <row r="480" spans="6:20" x14ac:dyDescent="0.35">
      <c r="F480" s="2"/>
      <c r="G480" s="2"/>
      <c r="H480" s="2"/>
      <c r="I480" s="2"/>
      <c r="J480" s="2"/>
      <c r="K480" s="2"/>
      <c r="L480" s="2"/>
      <c r="M480" s="2"/>
      <c r="Q480" s="2"/>
      <c r="R480" s="2"/>
      <c r="S480" s="9"/>
      <c r="T480" s="9"/>
    </row>
    <row r="481" spans="6:20" x14ac:dyDescent="0.35">
      <c r="F481" s="2"/>
      <c r="G481" s="2"/>
      <c r="H481" s="2"/>
      <c r="I481" s="2"/>
      <c r="J481" s="2"/>
      <c r="K481" s="2"/>
      <c r="L481" s="2"/>
      <c r="M481" s="2"/>
      <c r="Q481" s="2"/>
      <c r="R481" s="2"/>
      <c r="S481" s="9"/>
      <c r="T481" s="9"/>
    </row>
    <row r="482" spans="6:20" x14ac:dyDescent="0.35">
      <c r="F482" s="2"/>
      <c r="G482" s="2"/>
      <c r="H482" s="2"/>
      <c r="I482" s="2"/>
      <c r="J482" s="2"/>
      <c r="K482" s="2"/>
      <c r="L482" s="2"/>
      <c r="M482" s="2"/>
      <c r="Q482" s="2"/>
      <c r="R482" s="2"/>
      <c r="S482" s="9"/>
      <c r="T482" s="9"/>
    </row>
    <row r="483" spans="6:20" x14ac:dyDescent="0.35">
      <c r="F483" s="2"/>
      <c r="G483" s="2"/>
      <c r="H483" s="2"/>
      <c r="I483" s="2"/>
      <c r="J483" s="2"/>
      <c r="K483" s="2"/>
      <c r="L483" s="2"/>
      <c r="M483" s="2"/>
      <c r="Q483" s="2"/>
      <c r="R483" s="2"/>
      <c r="S483" s="9"/>
      <c r="T483" s="9"/>
    </row>
    <row r="484" spans="6:20" x14ac:dyDescent="0.35">
      <c r="F484" s="2"/>
      <c r="G484" s="2"/>
      <c r="H484" s="2"/>
      <c r="I484" s="2"/>
      <c r="J484" s="2"/>
      <c r="K484" s="2"/>
      <c r="L484" s="2"/>
      <c r="M484" s="2"/>
      <c r="Q484" s="2"/>
      <c r="R484" s="2"/>
      <c r="S484" s="9"/>
      <c r="T484" s="9"/>
    </row>
    <row r="485" spans="6:20" x14ac:dyDescent="0.35">
      <c r="F485" s="2"/>
      <c r="G485" s="2"/>
      <c r="H485" s="2"/>
      <c r="I485" s="2"/>
      <c r="J485" s="2"/>
      <c r="K485" s="2"/>
      <c r="L485" s="2"/>
      <c r="M485" s="2"/>
      <c r="Q485" s="2"/>
      <c r="R485" s="2"/>
      <c r="S485" s="9"/>
      <c r="T485" s="9"/>
    </row>
    <row r="486" spans="6:20" x14ac:dyDescent="0.35">
      <c r="F486" s="2"/>
      <c r="G486" s="2"/>
      <c r="H486" s="2"/>
      <c r="I486" s="2"/>
      <c r="J486" s="2"/>
      <c r="K486" s="2"/>
      <c r="L486" s="2"/>
      <c r="M486" s="2"/>
      <c r="Q486" s="2"/>
      <c r="R486" s="2"/>
      <c r="S486" s="9"/>
      <c r="T486" s="9"/>
    </row>
    <row r="487" spans="6:20" x14ac:dyDescent="0.35">
      <c r="F487" s="2"/>
      <c r="G487" s="2"/>
      <c r="H487" s="2"/>
      <c r="I487" s="2"/>
      <c r="J487" s="2"/>
      <c r="K487" s="2"/>
      <c r="L487" s="2"/>
      <c r="M487" s="2"/>
      <c r="Q487" s="2"/>
      <c r="R487" s="2"/>
      <c r="S487" s="9"/>
      <c r="T487" s="9"/>
    </row>
    <row r="488" spans="6:20" x14ac:dyDescent="0.35">
      <c r="F488" s="2"/>
      <c r="G488" s="2"/>
      <c r="H488" s="2"/>
      <c r="I488" s="2"/>
      <c r="J488" s="2"/>
      <c r="K488" s="2"/>
      <c r="L488" s="2"/>
      <c r="M488" s="2"/>
      <c r="Q488" s="2"/>
      <c r="R488" s="2"/>
      <c r="S488" s="9"/>
      <c r="T488" s="9"/>
    </row>
    <row r="489" spans="6:20" x14ac:dyDescent="0.35">
      <c r="F489" s="2"/>
      <c r="G489" s="2"/>
      <c r="H489" s="2"/>
      <c r="I489" s="2"/>
      <c r="J489" s="2"/>
      <c r="K489" s="2"/>
      <c r="L489" s="2"/>
      <c r="M489" s="2"/>
      <c r="Q489" s="2"/>
      <c r="R489" s="2"/>
      <c r="S489" s="9"/>
      <c r="T489" s="9"/>
    </row>
    <row r="490" spans="6:20" x14ac:dyDescent="0.35">
      <c r="F490" s="2"/>
      <c r="G490" s="2"/>
      <c r="H490" s="2"/>
      <c r="I490" s="2"/>
      <c r="J490" s="2"/>
      <c r="K490" s="2"/>
      <c r="L490" s="2"/>
      <c r="M490" s="2"/>
      <c r="Q490" s="2"/>
      <c r="R490" s="2"/>
      <c r="S490" s="9"/>
      <c r="T490" s="9"/>
    </row>
    <row r="491" spans="6:20" x14ac:dyDescent="0.35">
      <c r="F491" s="2"/>
      <c r="G491" s="2"/>
      <c r="H491" s="2"/>
      <c r="I491" s="2"/>
      <c r="J491" s="2"/>
      <c r="K491" s="2"/>
      <c r="L491" s="2"/>
      <c r="M491" s="2"/>
      <c r="Q491" s="2"/>
      <c r="R491" s="2"/>
      <c r="S491" s="9"/>
      <c r="T491" s="9"/>
    </row>
    <row r="492" spans="6:20" x14ac:dyDescent="0.35">
      <c r="F492" s="2"/>
      <c r="G492" s="2"/>
      <c r="H492" s="2"/>
      <c r="I492" s="2"/>
      <c r="J492" s="2"/>
      <c r="K492" s="2"/>
      <c r="L492" s="2"/>
      <c r="M492" s="2"/>
      <c r="Q492" s="2"/>
      <c r="R492" s="2"/>
      <c r="S492" s="9"/>
      <c r="T492" s="9"/>
    </row>
    <row r="493" spans="6:20" x14ac:dyDescent="0.35">
      <c r="F493" s="2"/>
      <c r="G493" s="2"/>
      <c r="H493" s="2"/>
      <c r="I493" s="2"/>
      <c r="J493" s="2"/>
      <c r="K493" s="2"/>
      <c r="L493" s="2"/>
      <c r="M493" s="2"/>
      <c r="Q493" s="2"/>
      <c r="R493" s="2"/>
      <c r="S493" s="9"/>
      <c r="T493" s="9"/>
    </row>
    <row r="494" spans="6:20" x14ac:dyDescent="0.35">
      <c r="F494" s="2"/>
      <c r="G494" s="2"/>
      <c r="H494" s="2"/>
      <c r="I494" s="2"/>
      <c r="J494" s="2"/>
      <c r="K494" s="2"/>
      <c r="L494" s="2"/>
      <c r="M494" s="2"/>
      <c r="Q494" s="2"/>
      <c r="R494" s="2"/>
      <c r="S494" s="9"/>
      <c r="T494" s="9"/>
    </row>
    <row r="495" spans="6:20" x14ac:dyDescent="0.35">
      <c r="F495" s="2"/>
      <c r="G495" s="2"/>
      <c r="H495" s="2"/>
      <c r="I495" s="2"/>
      <c r="J495" s="2"/>
      <c r="K495" s="2"/>
      <c r="L495" s="2"/>
      <c r="M495" s="2"/>
      <c r="Q495" s="2"/>
      <c r="R495" s="2"/>
      <c r="S495" s="9"/>
      <c r="T495" s="9"/>
    </row>
    <row r="496" spans="6:20" x14ac:dyDescent="0.35">
      <c r="F496" s="2"/>
      <c r="G496" s="2"/>
      <c r="H496" s="2"/>
      <c r="I496" s="2"/>
      <c r="J496" s="2"/>
      <c r="K496" s="2"/>
      <c r="L496" s="2"/>
      <c r="M496" s="2"/>
      <c r="Q496" s="2"/>
      <c r="R496" s="2"/>
      <c r="S496" s="9"/>
      <c r="T496" s="9"/>
    </row>
    <row r="497" spans="6:20" x14ac:dyDescent="0.35">
      <c r="F497" s="2"/>
      <c r="G497" s="2"/>
      <c r="H497" s="2"/>
      <c r="I497" s="2"/>
      <c r="J497" s="2"/>
      <c r="K497" s="2"/>
      <c r="L497" s="2"/>
      <c r="M497" s="2"/>
      <c r="Q497" s="2"/>
      <c r="R497" s="2"/>
      <c r="S497" s="9"/>
      <c r="T497" s="9"/>
    </row>
    <row r="498" spans="6:20" x14ac:dyDescent="0.35">
      <c r="F498" s="2"/>
      <c r="G498" s="2"/>
      <c r="H498" s="2"/>
      <c r="I498" s="2"/>
      <c r="J498" s="2"/>
      <c r="K498" s="2"/>
      <c r="L498" s="2"/>
      <c r="M498" s="2"/>
      <c r="Q498" s="2"/>
      <c r="R498" s="2"/>
      <c r="S498" s="9"/>
      <c r="T498" s="9"/>
    </row>
    <row r="499" spans="6:20" x14ac:dyDescent="0.35">
      <c r="F499" s="2"/>
      <c r="G499" s="2"/>
      <c r="H499" s="2"/>
      <c r="I499" s="2"/>
      <c r="J499" s="2"/>
      <c r="K499" s="2"/>
      <c r="L499" s="2"/>
      <c r="M499" s="2"/>
      <c r="Q499" s="2"/>
      <c r="R499" s="2"/>
      <c r="S499" s="9"/>
      <c r="T499" s="9"/>
    </row>
    <row r="500" spans="6:20" x14ac:dyDescent="0.35">
      <c r="F500" s="2"/>
      <c r="G500" s="2"/>
      <c r="H500" s="2"/>
      <c r="I500" s="2"/>
      <c r="J500" s="2"/>
      <c r="K500" s="2"/>
      <c r="L500" s="2"/>
      <c r="M500" s="2"/>
      <c r="Q500" s="2"/>
      <c r="R500" s="2"/>
      <c r="S500" s="9"/>
      <c r="T500" s="9"/>
    </row>
    <row r="501" spans="6:20" x14ac:dyDescent="0.35">
      <c r="F501" s="2"/>
      <c r="G501" s="2"/>
      <c r="H501" s="2"/>
      <c r="I501" s="2"/>
      <c r="J501" s="2"/>
      <c r="K501" s="2"/>
      <c r="L501" s="2"/>
      <c r="M501" s="2"/>
      <c r="Q501" s="2"/>
      <c r="R501" s="2"/>
      <c r="S501" s="9"/>
      <c r="T501" s="9"/>
    </row>
    <row r="502" spans="6:20" x14ac:dyDescent="0.35">
      <c r="F502" s="2"/>
      <c r="G502" s="2"/>
      <c r="H502" s="2"/>
      <c r="I502" s="2"/>
      <c r="J502" s="2"/>
      <c r="K502" s="2"/>
      <c r="L502" s="2"/>
      <c r="M502" s="2"/>
      <c r="Q502" s="2"/>
      <c r="R502" s="2"/>
      <c r="S502" s="9"/>
      <c r="T502" s="9"/>
    </row>
    <row r="503" spans="6:20" x14ac:dyDescent="0.35">
      <c r="F503" s="2"/>
      <c r="G503" s="2"/>
      <c r="H503" s="2"/>
      <c r="I503" s="2"/>
      <c r="J503" s="2"/>
      <c r="K503" s="2"/>
      <c r="L503" s="2"/>
      <c r="M503" s="2"/>
      <c r="Q503" s="2"/>
      <c r="R503" s="2"/>
      <c r="S503" s="9"/>
      <c r="T503" s="9"/>
    </row>
    <row r="504" spans="6:20" x14ac:dyDescent="0.35">
      <c r="F504" s="2"/>
      <c r="G504" s="2"/>
      <c r="H504" s="2"/>
      <c r="I504" s="2"/>
      <c r="J504" s="2"/>
      <c r="K504" s="2"/>
      <c r="L504" s="2"/>
      <c r="M504" s="2"/>
      <c r="Q504" s="2"/>
      <c r="R504" s="2"/>
      <c r="S504" s="9"/>
      <c r="T504" s="9"/>
    </row>
    <row r="505" spans="6:20" x14ac:dyDescent="0.35">
      <c r="F505" s="2"/>
      <c r="G505" s="2"/>
      <c r="H505" s="2"/>
      <c r="I505" s="2"/>
      <c r="J505" s="2"/>
      <c r="K505" s="2"/>
      <c r="L505" s="2"/>
      <c r="M505" s="2"/>
      <c r="Q505" s="2"/>
      <c r="R505" s="2"/>
      <c r="S505" s="9"/>
      <c r="T505" s="9"/>
    </row>
    <row r="506" spans="6:20" x14ac:dyDescent="0.35">
      <c r="F506" s="2"/>
      <c r="G506" s="2"/>
      <c r="H506" s="2"/>
      <c r="I506" s="2"/>
      <c r="J506" s="2"/>
      <c r="K506" s="2"/>
      <c r="L506" s="2"/>
      <c r="M506" s="2"/>
      <c r="Q506" s="2"/>
      <c r="R506" s="2"/>
      <c r="S506" s="9"/>
      <c r="T506" s="9"/>
    </row>
    <row r="507" spans="6:20" x14ac:dyDescent="0.35">
      <c r="F507" s="2"/>
      <c r="G507" s="2"/>
      <c r="H507" s="2"/>
      <c r="I507" s="2"/>
      <c r="J507" s="2"/>
      <c r="K507" s="2"/>
      <c r="L507" s="2"/>
      <c r="M507" s="2"/>
      <c r="Q507" s="2"/>
      <c r="R507" s="2"/>
      <c r="S507" s="9"/>
      <c r="T507" s="9"/>
    </row>
    <row r="508" spans="6:20" x14ac:dyDescent="0.35">
      <c r="F508" s="2"/>
      <c r="G508" s="2"/>
      <c r="H508" s="2"/>
      <c r="I508" s="2"/>
      <c r="J508" s="2"/>
      <c r="K508" s="2"/>
      <c r="L508" s="2"/>
      <c r="M508" s="2"/>
      <c r="Q508" s="2"/>
      <c r="R508" s="2"/>
      <c r="S508" s="9"/>
      <c r="T508" s="9"/>
    </row>
    <row r="509" spans="6:20" x14ac:dyDescent="0.35">
      <c r="F509" s="2"/>
      <c r="G509" s="2"/>
      <c r="H509" s="2"/>
      <c r="I509" s="2"/>
      <c r="J509" s="2"/>
      <c r="K509" s="2"/>
      <c r="L509" s="2"/>
      <c r="M509" s="2"/>
      <c r="Q509" s="2"/>
      <c r="R509" s="2"/>
      <c r="S509" s="9"/>
      <c r="T509" s="9"/>
    </row>
    <row r="510" spans="6:20" x14ac:dyDescent="0.35">
      <c r="F510" s="2"/>
      <c r="G510" s="2"/>
      <c r="H510" s="2"/>
      <c r="I510" s="2"/>
      <c r="J510" s="2"/>
      <c r="K510" s="2"/>
      <c r="L510" s="2"/>
      <c r="M510" s="2"/>
      <c r="Q510" s="2"/>
      <c r="R510" s="2"/>
      <c r="S510" s="9"/>
      <c r="T510" s="9"/>
    </row>
    <row r="511" spans="6:20" x14ac:dyDescent="0.35">
      <c r="F511" s="2"/>
      <c r="G511" s="2"/>
      <c r="H511" s="2"/>
      <c r="I511" s="2"/>
      <c r="J511" s="2"/>
      <c r="K511" s="2"/>
      <c r="L511" s="2"/>
      <c r="M511" s="2"/>
      <c r="Q511" s="2"/>
      <c r="R511" s="2"/>
      <c r="S511" s="9"/>
      <c r="T511" s="9"/>
    </row>
    <row r="512" spans="6:20" x14ac:dyDescent="0.35">
      <c r="F512" s="2"/>
      <c r="G512" s="2"/>
      <c r="H512" s="2"/>
      <c r="I512" s="2"/>
      <c r="J512" s="2"/>
      <c r="K512" s="2"/>
      <c r="L512" s="2"/>
      <c r="M512" s="2"/>
      <c r="Q512" s="2"/>
      <c r="R512" s="2"/>
      <c r="S512" s="9"/>
      <c r="T512" s="9"/>
    </row>
    <row r="513" spans="6:20" x14ac:dyDescent="0.35">
      <c r="F513" s="2"/>
      <c r="G513" s="2"/>
      <c r="H513" s="2"/>
      <c r="I513" s="2"/>
      <c r="J513" s="2"/>
      <c r="K513" s="2"/>
      <c r="L513" s="2"/>
      <c r="M513" s="2"/>
      <c r="Q513" s="2"/>
      <c r="R513" s="2"/>
      <c r="S513" s="9"/>
      <c r="T513" s="9"/>
    </row>
    <row r="514" spans="6:20" x14ac:dyDescent="0.35">
      <c r="F514" s="2"/>
      <c r="G514" s="2"/>
      <c r="H514" s="2"/>
      <c r="I514" s="2"/>
      <c r="J514" s="2"/>
      <c r="K514" s="2"/>
      <c r="L514" s="2"/>
      <c r="M514" s="2"/>
      <c r="Q514" s="2"/>
      <c r="R514" s="2"/>
      <c r="S514" s="9"/>
      <c r="T514" s="9"/>
    </row>
    <row r="515" spans="6:20" x14ac:dyDescent="0.35">
      <c r="F515" s="2"/>
      <c r="G515" s="2"/>
      <c r="H515" s="2"/>
      <c r="I515" s="2"/>
      <c r="J515" s="2"/>
      <c r="K515" s="2"/>
      <c r="L515" s="2"/>
      <c r="M515" s="2"/>
      <c r="Q515" s="2"/>
      <c r="R515" s="2"/>
      <c r="S515" s="9"/>
      <c r="T515" s="9"/>
    </row>
    <row r="516" spans="6:20" x14ac:dyDescent="0.35">
      <c r="F516" s="2"/>
      <c r="G516" s="2"/>
      <c r="H516" s="2"/>
      <c r="I516" s="2"/>
      <c r="J516" s="2"/>
      <c r="K516" s="2"/>
      <c r="L516" s="2"/>
      <c r="M516" s="2"/>
      <c r="Q516" s="2"/>
      <c r="R516" s="2"/>
      <c r="S516" s="9"/>
      <c r="T516" s="9"/>
    </row>
    <row r="517" spans="6:20" x14ac:dyDescent="0.35">
      <c r="F517" s="2"/>
      <c r="G517" s="2"/>
      <c r="H517" s="2"/>
      <c r="I517" s="2"/>
      <c r="J517" s="2"/>
      <c r="K517" s="2"/>
      <c r="L517" s="2"/>
      <c r="M517" s="2"/>
      <c r="Q517" s="2"/>
      <c r="R517" s="2"/>
      <c r="S517" s="9"/>
      <c r="T517" s="9"/>
    </row>
    <row r="518" spans="6:20" x14ac:dyDescent="0.35">
      <c r="F518" s="2"/>
      <c r="G518" s="2"/>
      <c r="H518" s="2"/>
      <c r="I518" s="2"/>
      <c r="J518" s="2"/>
      <c r="K518" s="2"/>
      <c r="L518" s="2"/>
      <c r="M518" s="2"/>
      <c r="Q518" s="2"/>
      <c r="R518" s="2"/>
      <c r="S518" s="9"/>
      <c r="T518" s="9"/>
    </row>
    <row r="519" spans="6:20" x14ac:dyDescent="0.35">
      <c r="F519" s="2"/>
      <c r="G519" s="2"/>
      <c r="H519" s="2"/>
      <c r="I519" s="2"/>
      <c r="J519" s="2"/>
      <c r="K519" s="2"/>
      <c r="L519" s="2"/>
      <c r="M519" s="2"/>
      <c r="Q519" s="2"/>
      <c r="R519" s="2"/>
      <c r="S519" s="9"/>
      <c r="T519" s="9"/>
    </row>
    <row r="520" spans="6:20" x14ac:dyDescent="0.35">
      <c r="F520" s="2"/>
      <c r="G520" s="2"/>
      <c r="H520" s="2"/>
      <c r="I520" s="2"/>
      <c r="J520" s="2"/>
      <c r="K520" s="2"/>
      <c r="L520" s="2"/>
      <c r="M520" s="2"/>
      <c r="Q520" s="2"/>
      <c r="R520" s="2"/>
      <c r="S520" s="9"/>
      <c r="T520" s="9"/>
    </row>
    <row r="521" spans="6:20" x14ac:dyDescent="0.35">
      <c r="F521" s="2"/>
      <c r="G521" s="2"/>
      <c r="H521" s="2"/>
      <c r="I521" s="2"/>
      <c r="J521" s="2"/>
      <c r="K521" s="2"/>
      <c r="L521" s="2"/>
      <c r="M521" s="2"/>
      <c r="Q521" s="2"/>
      <c r="R521" s="2"/>
      <c r="S521" s="9"/>
      <c r="T521" s="9"/>
    </row>
    <row r="522" spans="6:20" x14ac:dyDescent="0.35">
      <c r="F522" s="2"/>
      <c r="G522" s="2"/>
      <c r="H522" s="2"/>
      <c r="I522" s="2"/>
      <c r="J522" s="2"/>
      <c r="K522" s="2"/>
      <c r="L522" s="2"/>
      <c r="M522" s="2"/>
      <c r="Q522" s="2"/>
      <c r="R522" s="2"/>
      <c r="S522" s="9"/>
      <c r="T522" s="9"/>
    </row>
    <row r="523" spans="6:20" x14ac:dyDescent="0.35">
      <c r="F523" s="2"/>
      <c r="G523" s="2"/>
      <c r="H523" s="2"/>
      <c r="I523" s="2"/>
      <c r="J523" s="2"/>
      <c r="K523" s="2"/>
      <c r="L523" s="2"/>
      <c r="M523" s="2"/>
      <c r="Q523" s="2"/>
      <c r="R523" s="2"/>
      <c r="S523" s="9"/>
      <c r="T523" s="9"/>
    </row>
    <row r="524" spans="6:20" x14ac:dyDescent="0.35">
      <c r="F524" s="2"/>
      <c r="G524" s="2"/>
      <c r="H524" s="2"/>
      <c r="I524" s="2"/>
      <c r="J524" s="2"/>
      <c r="K524" s="2"/>
      <c r="L524" s="2"/>
      <c r="M524" s="2"/>
      <c r="Q524" s="2"/>
      <c r="R524" s="2"/>
      <c r="S524" s="9"/>
      <c r="T524" s="9"/>
    </row>
    <row r="525" spans="6:20" x14ac:dyDescent="0.35">
      <c r="F525" s="2"/>
      <c r="G525" s="2"/>
      <c r="H525" s="2"/>
      <c r="I525" s="2"/>
      <c r="J525" s="2"/>
      <c r="K525" s="2"/>
      <c r="L525" s="2"/>
      <c r="M525" s="2"/>
      <c r="Q525" s="2"/>
      <c r="R525" s="2"/>
      <c r="S525" s="9"/>
      <c r="T525" s="9"/>
    </row>
    <row r="526" spans="6:20" x14ac:dyDescent="0.35">
      <c r="F526" s="2"/>
      <c r="G526" s="2"/>
      <c r="H526" s="2"/>
      <c r="I526" s="2"/>
      <c r="J526" s="2"/>
      <c r="K526" s="2"/>
      <c r="L526" s="2"/>
      <c r="M526" s="2"/>
      <c r="Q526" s="2"/>
      <c r="R526" s="2"/>
      <c r="S526" s="9"/>
      <c r="T526" s="9"/>
    </row>
    <row r="527" spans="6:20" x14ac:dyDescent="0.35">
      <c r="F527" s="2"/>
      <c r="G527" s="2"/>
      <c r="H527" s="2"/>
      <c r="I527" s="2"/>
      <c r="J527" s="2"/>
      <c r="K527" s="2"/>
      <c r="L527" s="2"/>
      <c r="M527" s="2"/>
      <c r="Q527" s="2"/>
      <c r="R527" s="2"/>
      <c r="S527" s="9"/>
      <c r="T527" s="9"/>
    </row>
    <row r="528" spans="6:20" x14ac:dyDescent="0.35">
      <c r="F528" s="2"/>
      <c r="G528" s="2"/>
      <c r="H528" s="2"/>
      <c r="I528" s="2"/>
      <c r="J528" s="2"/>
      <c r="K528" s="2"/>
      <c r="L528" s="2"/>
      <c r="M528" s="2"/>
      <c r="Q528" s="2"/>
      <c r="R528" s="2"/>
      <c r="S528" s="9"/>
      <c r="T528" s="9"/>
    </row>
    <row r="529" spans="6:20" x14ac:dyDescent="0.35">
      <c r="F529" s="2"/>
      <c r="G529" s="2"/>
      <c r="H529" s="2"/>
      <c r="I529" s="2"/>
      <c r="J529" s="2"/>
      <c r="K529" s="2"/>
      <c r="L529" s="2"/>
      <c r="M529" s="2"/>
      <c r="Q529" s="2"/>
      <c r="R529" s="2"/>
      <c r="S529" s="9"/>
      <c r="T529" s="9"/>
    </row>
    <row r="530" spans="6:20" x14ac:dyDescent="0.35">
      <c r="F530" s="2"/>
      <c r="G530" s="2"/>
      <c r="H530" s="2"/>
      <c r="I530" s="2"/>
      <c r="J530" s="2"/>
      <c r="K530" s="2"/>
      <c r="L530" s="2"/>
      <c r="M530" s="2"/>
      <c r="Q530" s="2"/>
      <c r="R530" s="2"/>
      <c r="S530" s="9"/>
      <c r="T530" s="9"/>
    </row>
    <row r="531" spans="6:20" x14ac:dyDescent="0.35">
      <c r="F531" s="2"/>
      <c r="G531" s="2"/>
      <c r="H531" s="2"/>
      <c r="I531" s="2"/>
      <c r="J531" s="2"/>
      <c r="K531" s="2"/>
      <c r="L531" s="2"/>
      <c r="M531" s="2"/>
      <c r="Q531" s="2"/>
      <c r="R531" s="2"/>
      <c r="S531" s="9"/>
      <c r="T531" s="9"/>
    </row>
    <row r="532" spans="6:20" x14ac:dyDescent="0.35">
      <c r="F532" s="2"/>
      <c r="G532" s="2"/>
      <c r="H532" s="2"/>
      <c r="I532" s="2"/>
      <c r="J532" s="2"/>
      <c r="K532" s="2"/>
      <c r="L532" s="2"/>
      <c r="M532" s="2"/>
      <c r="Q532" s="2"/>
      <c r="R532" s="2"/>
      <c r="S532" s="9"/>
      <c r="T532" s="9"/>
    </row>
    <row r="533" spans="6:20" x14ac:dyDescent="0.35">
      <c r="F533" s="2"/>
      <c r="G533" s="2"/>
      <c r="H533" s="2"/>
      <c r="I533" s="2"/>
      <c r="J533" s="2"/>
      <c r="K533" s="2"/>
      <c r="L533" s="2"/>
      <c r="M533" s="2"/>
      <c r="Q533" s="2"/>
      <c r="R533" s="2"/>
      <c r="S533" s="9"/>
      <c r="T533" s="9"/>
    </row>
    <row r="534" spans="6:20" x14ac:dyDescent="0.35">
      <c r="F534" s="2"/>
      <c r="G534" s="2"/>
      <c r="H534" s="2"/>
      <c r="I534" s="2"/>
      <c r="J534" s="2"/>
      <c r="K534" s="2"/>
      <c r="L534" s="2"/>
      <c r="M534" s="2"/>
      <c r="Q534" s="2"/>
      <c r="R534" s="2"/>
      <c r="S534" s="9"/>
      <c r="T534" s="9"/>
    </row>
    <row r="535" spans="6:20" x14ac:dyDescent="0.35">
      <c r="F535" s="2"/>
      <c r="G535" s="2"/>
      <c r="H535" s="2"/>
      <c r="I535" s="2"/>
      <c r="J535" s="2"/>
      <c r="K535" s="2"/>
      <c r="L535" s="2"/>
      <c r="M535" s="2"/>
      <c r="Q535" s="2"/>
      <c r="R535" s="2"/>
      <c r="S535" s="9"/>
      <c r="T535" s="9"/>
    </row>
    <row r="536" spans="6:20" x14ac:dyDescent="0.35">
      <c r="F536" s="2"/>
      <c r="G536" s="2"/>
      <c r="H536" s="2"/>
      <c r="I536" s="2"/>
      <c r="J536" s="2"/>
      <c r="K536" s="2"/>
      <c r="L536" s="2"/>
      <c r="M536" s="2"/>
      <c r="Q536" s="2"/>
      <c r="R536" s="2"/>
      <c r="S536" s="9"/>
      <c r="T536" s="9"/>
    </row>
    <row r="537" spans="6:20" x14ac:dyDescent="0.35">
      <c r="F537" s="2"/>
      <c r="G537" s="2"/>
      <c r="H537" s="2"/>
      <c r="I537" s="2"/>
      <c r="J537" s="2"/>
      <c r="K537" s="2"/>
      <c r="L537" s="2"/>
      <c r="M537" s="2"/>
      <c r="Q537" s="2"/>
      <c r="R537" s="2"/>
      <c r="S537" s="9"/>
      <c r="T537" s="9"/>
    </row>
    <row r="538" spans="6:20" x14ac:dyDescent="0.35">
      <c r="F538" s="2"/>
      <c r="G538" s="2"/>
      <c r="H538" s="2"/>
      <c r="I538" s="2"/>
      <c r="J538" s="2"/>
      <c r="K538" s="2"/>
      <c r="L538" s="2"/>
      <c r="M538" s="2"/>
      <c r="Q538" s="2"/>
      <c r="R538" s="2"/>
      <c r="S538" s="9"/>
      <c r="T538" s="9"/>
    </row>
    <row r="539" spans="6:20" x14ac:dyDescent="0.35">
      <c r="F539" s="2"/>
      <c r="G539" s="2"/>
      <c r="H539" s="2"/>
      <c r="I539" s="2"/>
      <c r="J539" s="2"/>
      <c r="K539" s="2"/>
      <c r="L539" s="2"/>
      <c r="M539" s="2"/>
      <c r="Q539" s="2"/>
      <c r="R539" s="2"/>
      <c r="S539" s="9"/>
      <c r="T539" s="9"/>
    </row>
    <row r="540" spans="6:20" x14ac:dyDescent="0.35">
      <c r="F540" s="2"/>
      <c r="G540" s="2"/>
      <c r="H540" s="2"/>
      <c r="I540" s="2"/>
      <c r="J540" s="2"/>
      <c r="K540" s="2"/>
      <c r="L540" s="2"/>
      <c r="M540" s="2"/>
      <c r="Q540" s="2"/>
      <c r="R540" s="2"/>
      <c r="S540" s="9"/>
      <c r="T540" s="9"/>
    </row>
    <row r="541" spans="6:20" x14ac:dyDescent="0.35">
      <c r="F541" s="2"/>
      <c r="G541" s="2"/>
      <c r="H541" s="2"/>
      <c r="I541" s="2"/>
      <c r="J541" s="2"/>
      <c r="K541" s="2"/>
      <c r="L541" s="2"/>
      <c r="M541" s="2"/>
      <c r="Q541" s="2"/>
      <c r="R541" s="2"/>
      <c r="S541" s="9"/>
      <c r="T541" s="9"/>
    </row>
    <row r="542" spans="6:20" x14ac:dyDescent="0.35">
      <c r="F542" s="2"/>
      <c r="G542" s="2"/>
      <c r="H542" s="2"/>
      <c r="I542" s="2"/>
      <c r="J542" s="2"/>
      <c r="K542" s="2"/>
      <c r="L542" s="2"/>
      <c r="M542" s="2"/>
      <c r="Q542" s="2"/>
      <c r="R542" s="2"/>
      <c r="S542" s="9"/>
      <c r="T542" s="9"/>
    </row>
    <row r="543" spans="6:20" x14ac:dyDescent="0.35">
      <c r="F543" s="2"/>
      <c r="G543" s="2"/>
      <c r="H543" s="2"/>
      <c r="I543" s="2"/>
      <c r="J543" s="2"/>
      <c r="K543" s="2"/>
      <c r="L543" s="2"/>
      <c r="M543" s="2"/>
      <c r="Q543" s="2"/>
      <c r="R543" s="2"/>
      <c r="S543" s="9"/>
      <c r="T543" s="9"/>
    </row>
    <row r="544" spans="6:20" x14ac:dyDescent="0.35">
      <c r="F544" s="2"/>
      <c r="G544" s="2"/>
      <c r="H544" s="2"/>
      <c r="I544" s="2"/>
      <c r="J544" s="2"/>
      <c r="K544" s="2"/>
      <c r="L544" s="2"/>
      <c r="M544" s="2"/>
      <c r="Q544" s="2"/>
      <c r="R544" s="2"/>
      <c r="S544" s="9"/>
      <c r="T544" s="9"/>
    </row>
    <row r="545" spans="6:20" x14ac:dyDescent="0.35">
      <c r="F545" s="2"/>
      <c r="G545" s="2"/>
      <c r="H545" s="2"/>
      <c r="I545" s="2"/>
      <c r="J545" s="2"/>
      <c r="K545" s="2"/>
      <c r="L545" s="2"/>
      <c r="M545" s="2"/>
      <c r="Q545" s="2"/>
      <c r="R545" s="2"/>
      <c r="S545" s="9"/>
      <c r="T545" s="9"/>
    </row>
    <row r="546" spans="6:20" x14ac:dyDescent="0.35">
      <c r="F546" s="2"/>
      <c r="G546" s="2"/>
      <c r="H546" s="2"/>
      <c r="I546" s="2"/>
      <c r="J546" s="2"/>
      <c r="K546" s="2"/>
      <c r="L546" s="2"/>
      <c r="M546" s="2"/>
      <c r="Q546" s="2"/>
      <c r="R546" s="2"/>
      <c r="S546" s="9"/>
      <c r="T546" s="9"/>
    </row>
    <row r="547" spans="6:20" x14ac:dyDescent="0.35">
      <c r="F547" s="2"/>
      <c r="G547" s="2"/>
      <c r="H547" s="2"/>
      <c r="I547" s="2"/>
      <c r="J547" s="2"/>
      <c r="K547" s="2"/>
      <c r="L547" s="2"/>
      <c r="M547" s="2"/>
      <c r="Q547" s="2"/>
      <c r="R547" s="2"/>
      <c r="S547" s="9"/>
      <c r="T547" s="9"/>
    </row>
    <row r="548" spans="6:20" x14ac:dyDescent="0.35">
      <c r="F548" s="2"/>
      <c r="G548" s="2"/>
      <c r="H548" s="2"/>
      <c r="I548" s="2"/>
      <c r="J548" s="2"/>
      <c r="K548" s="2"/>
      <c r="L548" s="2"/>
      <c r="M548" s="2"/>
      <c r="Q548" s="2"/>
      <c r="R548" s="2"/>
      <c r="S548" s="9"/>
      <c r="T548" s="9"/>
    </row>
    <row r="549" spans="6:20" x14ac:dyDescent="0.35">
      <c r="F549" s="2"/>
      <c r="G549" s="2"/>
      <c r="H549" s="2"/>
      <c r="I549" s="2"/>
      <c r="J549" s="2"/>
      <c r="K549" s="2"/>
      <c r="L549" s="2"/>
      <c r="M549" s="2"/>
      <c r="Q549" s="2"/>
      <c r="R549" s="2"/>
      <c r="S549" s="9"/>
      <c r="T549" s="9"/>
    </row>
    <row r="550" spans="6:20" x14ac:dyDescent="0.35">
      <c r="F550" s="2"/>
      <c r="G550" s="2"/>
      <c r="H550" s="2"/>
      <c r="I550" s="2"/>
      <c r="J550" s="2"/>
      <c r="K550" s="2"/>
      <c r="L550" s="2"/>
      <c r="M550" s="2"/>
      <c r="Q550" s="2"/>
      <c r="R550" s="2"/>
      <c r="S550" s="9"/>
      <c r="T550" s="9"/>
    </row>
    <row r="551" spans="6:20" x14ac:dyDescent="0.35">
      <c r="F551" s="2"/>
      <c r="G551" s="2"/>
      <c r="H551" s="2"/>
      <c r="I551" s="2"/>
      <c r="J551" s="2"/>
      <c r="K551" s="2"/>
      <c r="L551" s="2"/>
      <c r="M551" s="2"/>
      <c r="Q551" s="2"/>
      <c r="R551" s="2"/>
      <c r="S551" s="9"/>
      <c r="T551" s="9"/>
    </row>
    <row r="552" spans="6:20" x14ac:dyDescent="0.35">
      <c r="F552" s="2"/>
      <c r="G552" s="2"/>
      <c r="H552" s="2"/>
      <c r="I552" s="2"/>
      <c r="J552" s="2"/>
      <c r="K552" s="2"/>
      <c r="L552" s="2"/>
      <c r="M552" s="2"/>
      <c r="Q552" s="2"/>
      <c r="R552" s="2"/>
      <c r="S552" s="9"/>
      <c r="T552" s="9"/>
    </row>
    <row r="553" spans="6:20" x14ac:dyDescent="0.35">
      <c r="F553" s="2"/>
      <c r="G553" s="2"/>
      <c r="H553" s="2"/>
      <c r="I553" s="2"/>
      <c r="J553" s="2"/>
      <c r="K553" s="2"/>
      <c r="L553" s="2"/>
      <c r="M553" s="2"/>
      <c r="Q553" s="2"/>
      <c r="R553" s="2"/>
      <c r="S553" s="9"/>
      <c r="T553" s="9"/>
    </row>
    <row r="554" spans="6:20" x14ac:dyDescent="0.35">
      <c r="F554" s="2"/>
      <c r="G554" s="2"/>
      <c r="H554" s="2"/>
      <c r="I554" s="2"/>
      <c r="J554" s="2"/>
      <c r="K554" s="2"/>
      <c r="L554" s="2"/>
      <c r="M554" s="2"/>
      <c r="Q554" s="2"/>
      <c r="R554" s="2"/>
      <c r="S554" s="9"/>
      <c r="T554" s="9"/>
    </row>
    <row r="555" spans="6:20" x14ac:dyDescent="0.35">
      <c r="F555" s="2"/>
      <c r="G555" s="2"/>
      <c r="H555" s="2"/>
      <c r="I555" s="2"/>
      <c r="J555" s="2"/>
      <c r="K555" s="2"/>
      <c r="L555" s="2"/>
      <c r="M555" s="2"/>
      <c r="Q555" s="2"/>
      <c r="R555" s="2"/>
      <c r="S555" s="9"/>
      <c r="T555" s="9"/>
    </row>
    <row r="556" spans="6:20" x14ac:dyDescent="0.35">
      <c r="F556" s="2"/>
      <c r="G556" s="2"/>
      <c r="H556" s="20"/>
      <c r="K556" s="2"/>
      <c r="L556" s="2"/>
      <c r="M556" s="2"/>
      <c r="Q556" s="2"/>
      <c r="R556" s="2"/>
    </row>
    <row r="557" spans="6:20" x14ac:dyDescent="0.35">
      <c r="F557" s="2"/>
      <c r="H557" s="20"/>
      <c r="K557" s="2"/>
      <c r="L557" s="2"/>
      <c r="M557" s="2"/>
      <c r="Q557" s="2"/>
      <c r="R557" s="2"/>
    </row>
    <row r="558" spans="6:20" x14ac:dyDescent="0.35">
      <c r="F558" s="2"/>
      <c r="H558" s="20"/>
      <c r="K558" s="2"/>
      <c r="L558" s="2"/>
      <c r="M558" s="2"/>
      <c r="Q558" s="2"/>
      <c r="R558" s="2"/>
    </row>
    <row r="559" spans="6:20" x14ac:dyDescent="0.35">
      <c r="H559" s="20"/>
      <c r="Q559" s="2"/>
      <c r="R559" s="2"/>
    </row>
    <row r="560" spans="6:20" x14ac:dyDescent="0.35">
      <c r="F560" s="2"/>
      <c r="G560" s="2"/>
      <c r="H560" s="20"/>
      <c r="K560" s="2"/>
      <c r="L560" s="2"/>
      <c r="M560" s="2"/>
      <c r="Q560" s="2"/>
      <c r="R560" s="2"/>
    </row>
    <row r="561" spans="6:18" x14ac:dyDescent="0.35">
      <c r="F561" s="2"/>
      <c r="G561" s="2"/>
      <c r="H561" s="20"/>
      <c r="I561" s="2"/>
      <c r="J561" s="2"/>
      <c r="K561" s="2"/>
      <c r="L561" s="2"/>
      <c r="M561" s="2"/>
      <c r="Q561" s="2"/>
      <c r="R561" s="2"/>
    </row>
    <row r="562" spans="6:18" x14ac:dyDescent="0.35">
      <c r="H562" s="20"/>
      <c r="Q562" s="2"/>
      <c r="R562" s="2"/>
    </row>
    <row r="563" spans="6:18" x14ac:dyDescent="0.35">
      <c r="F563" s="2"/>
      <c r="G563" s="2"/>
      <c r="H563" s="20"/>
      <c r="I563" s="2"/>
      <c r="J563" s="2"/>
      <c r="K563" s="2"/>
      <c r="L563" s="2"/>
      <c r="M563" s="2"/>
      <c r="Q563" s="2"/>
      <c r="R563" s="2"/>
    </row>
    <row r="564" spans="6:18" x14ac:dyDescent="0.35">
      <c r="F564" s="2"/>
      <c r="H564" s="20"/>
      <c r="K564" s="2"/>
      <c r="L564" s="2"/>
      <c r="M564" s="2"/>
      <c r="Q564" s="2"/>
      <c r="R564" s="2"/>
    </row>
    <row r="565" spans="6:18" x14ac:dyDescent="0.35">
      <c r="H565" s="20"/>
      <c r="Q565" s="2"/>
      <c r="R565" s="2"/>
    </row>
    <row r="566" spans="6:18" x14ac:dyDescent="0.35">
      <c r="F566" s="2"/>
      <c r="G566" s="2"/>
      <c r="H566" s="20"/>
      <c r="I566" s="2"/>
      <c r="J566" s="2"/>
      <c r="K566" s="2"/>
      <c r="L566" s="2"/>
      <c r="M566" s="2"/>
      <c r="Q566" s="2"/>
      <c r="R566" s="2"/>
    </row>
    <row r="567" spans="6:18" x14ac:dyDescent="0.35">
      <c r="F567" s="2"/>
      <c r="G567" s="2"/>
      <c r="H567" s="20"/>
      <c r="I567" s="2"/>
      <c r="J567" s="2"/>
      <c r="K567" s="2"/>
      <c r="L567" s="2"/>
      <c r="M567" s="2"/>
      <c r="Q567" s="2"/>
      <c r="R567" s="2"/>
    </row>
    <row r="568" spans="6:18" x14ac:dyDescent="0.35">
      <c r="F568" s="2"/>
      <c r="G568" s="2"/>
      <c r="H568" s="20"/>
      <c r="I568" s="2"/>
      <c r="J568" s="2"/>
      <c r="K568" s="2"/>
      <c r="L568" s="2"/>
      <c r="M568" s="2"/>
      <c r="Q568" s="2"/>
      <c r="R568" s="2"/>
    </row>
    <row r="569" spans="6:18" x14ac:dyDescent="0.35">
      <c r="F569" s="2"/>
      <c r="G569" s="2"/>
      <c r="H569" s="20"/>
      <c r="I569" s="2"/>
      <c r="J569" s="2"/>
      <c r="K569" s="2"/>
      <c r="L569" s="2"/>
      <c r="M569" s="2"/>
      <c r="Q569" s="2"/>
      <c r="R569" s="2"/>
    </row>
    <row r="570" spans="6:18" x14ac:dyDescent="0.35">
      <c r="F570" s="2"/>
      <c r="G570" s="2"/>
      <c r="H570" s="20"/>
      <c r="I570" s="2"/>
      <c r="J570" s="2"/>
      <c r="K570" s="2"/>
      <c r="L570" s="2"/>
      <c r="M570" s="2"/>
      <c r="Q570" s="2"/>
      <c r="R570" s="2"/>
    </row>
    <row r="571" spans="6:18" x14ac:dyDescent="0.35">
      <c r="F571" s="2"/>
      <c r="G571" s="2"/>
      <c r="H571" s="20"/>
      <c r="I571" s="2"/>
      <c r="J571" s="2"/>
      <c r="K571" s="2"/>
      <c r="L571" s="2"/>
      <c r="M571" s="2"/>
      <c r="Q571" s="2"/>
      <c r="R571" s="2"/>
    </row>
    <row r="572" spans="6:18" x14ac:dyDescent="0.35">
      <c r="H572" s="20"/>
      <c r="Q572" s="2"/>
      <c r="R572" s="2"/>
    </row>
    <row r="573" spans="6:18" x14ac:dyDescent="0.35">
      <c r="H573" s="20"/>
      <c r="I573" s="2"/>
      <c r="J573" s="2"/>
      <c r="Q573" s="2"/>
      <c r="R573" s="2"/>
    </row>
    <row r="574" spans="6:18" x14ac:dyDescent="0.35">
      <c r="F574" s="2"/>
      <c r="G574" s="2"/>
      <c r="H574" s="20"/>
      <c r="I574" s="2"/>
      <c r="J574" s="2"/>
      <c r="K574" s="2"/>
      <c r="L574" s="2"/>
      <c r="M574" s="2"/>
      <c r="Q574" s="2"/>
      <c r="R574" s="2"/>
    </row>
    <row r="575" spans="6:18" x14ac:dyDescent="0.35">
      <c r="F575" s="2"/>
      <c r="G575" s="2"/>
      <c r="H575" s="20"/>
      <c r="I575" s="2"/>
      <c r="J575" s="2"/>
      <c r="K575" s="2"/>
      <c r="L575" s="2"/>
      <c r="M575" s="2"/>
      <c r="Q575" s="2"/>
      <c r="R575" s="2"/>
    </row>
    <row r="576" spans="6:18" x14ac:dyDescent="0.35">
      <c r="F576" s="2"/>
      <c r="G576" s="2"/>
      <c r="H576" s="20"/>
      <c r="K576" s="2"/>
      <c r="L576" s="2"/>
      <c r="M576" s="2"/>
      <c r="Q576" s="2"/>
      <c r="R576" s="2"/>
    </row>
    <row r="577" spans="6:18" x14ac:dyDescent="0.35">
      <c r="F577" s="2"/>
      <c r="H577" s="20"/>
      <c r="I577" s="2"/>
      <c r="J577" s="2"/>
      <c r="K577" s="2"/>
      <c r="L577" s="2"/>
      <c r="M577" s="2"/>
      <c r="Q577" s="2"/>
      <c r="R577" s="2"/>
    </row>
    <row r="578" spans="6:18" x14ac:dyDescent="0.35">
      <c r="F578" s="2"/>
      <c r="H578" s="20"/>
      <c r="K578" s="2"/>
      <c r="L578" s="2"/>
      <c r="M578" s="2"/>
      <c r="Q578" s="2"/>
      <c r="R578" s="2"/>
    </row>
    <row r="579" spans="6:18" x14ac:dyDescent="0.35">
      <c r="F579" s="2"/>
      <c r="G579" s="2"/>
      <c r="H579" s="20"/>
      <c r="K579" s="2"/>
      <c r="L579" s="2"/>
      <c r="M579" s="2"/>
      <c r="Q579" s="2"/>
      <c r="R579" s="2"/>
    </row>
    <row r="580" spans="6:18" x14ac:dyDescent="0.35">
      <c r="F580" s="2"/>
      <c r="G580" s="2"/>
      <c r="H580" s="20"/>
      <c r="K580" s="2"/>
      <c r="L580" s="2"/>
      <c r="M580" s="2"/>
      <c r="Q580" s="2"/>
      <c r="R580" s="2"/>
    </row>
    <row r="581" spans="6:18" x14ac:dyDescent="0.35">
      <c r="F581" s="2"/>
      <c r="G581" s="2"/>
      <c r="H581" s="20"/>
      <c r="K581" s="2"/>
      <c r="L581" s="2"/>
      <c r="M581" s="2"/>
      <c r="Q581" s="2"/>
      <c r="R581" s="2"/>
    </row>
    <row r="582" spans="6:18" x14ac:dyDescent="0.35">
      <c r="F582" s="2"/>
      <c r="H582" s="20"/>
      <c r="K582" s="2"/>
      <c r="L582" s="2"/>
      <c r="M582" s="2"/>
      <c r="Q582" s="2"/>
      <c r="R582" s="2"/>
    </row>
    <row r="583" spans="6:18" x14ac:dyDescent="0.35">
      <c r="F583" s="2"/>
      <c r="H583" s="20"/>
      <c r="K583" s="2"/>
      <c r="L583" s="2"/>
      <c r="M583" s="2"/>
      <c r="Q583" s="2"/>
      <c r="R583" s="2"/>
    </row>
    <row r="584" spans="6:18" x14ac:dyDescent="0.35">
      <c r="F584" s="2"/>
      <c r="H584" s="20"/>
      <c r="K584" s="2"/>
      <c r="L584" s="2"/>
      <c r="M584" s="2"/>
      <c r="Q584" s="2"/>
      <c r="R584" s="2"/>
    </row>
    <row r="585" spans="6:18" x14ac:dyDescent="0.35">
      <c r="F585" s="2"/>
      <c r="H585" s="20"/>
      <c r="K585" s="2"/>
      <c r="L585" s="2"/>
      <c r="M585" s="2"/>
      <c r="Q585" s="2"/>
      <c r="R585" s="2"/>
    </row>
    <row r="586" spans="6:18" x14ac:dyDescent="0.35">
      <c r="H586" s="20"/>
      <c r="Q586" s="2"/>
      <c r="R586" s="2"/>
    </row>
    <row r="587" spans="6:18" x14ac:dyDescent="0.35">
      <c r="H587" s="20"/>
      <c r="Q587" s="2"/>
      <c r="R587" s="2"/>
    </row>
    <row r="588" spans="6:18" x14ac:dyDescent="0.35">
      <c r="F588" s="2"/>
      <c r="G588" s="2"/>
      <c r="H588" s="20"/>
      <c r="I588" s="2"/>
      <c r="J588" s="2"/>
      <c r="K588" s="2"/>
      <c r="L588" s="2"/>
      <c r="M588" s="2"/>
      <c r="Q588" s="2"/>
      <c r="R588" s="2"/>
    </row>
    <row r="589" spans="6:18" x14ac:dyDescent="0.35">
      <c r="H589" s="20"/>
      <c r="Q589" s="2"/>
      <c r="R589" s="2"/>
    </row>
    <row r="590" spans="6:18" x14ac:dyDescent="0.35">
      <c r="H590" s="20"/>
      <c r="I590" s="2"/>
      <c r="J590" s="2"/>
      <c r="Q590" s="2"/>
      <c r="R590" s="2"/>
    </row>
    <row r="591" spans="6:18" x14ac:dyDescent="0.35">
      <c r="H591" s="20"/>
      <c r="Q591" s="2"/>
      <c r="R591" s="2"/>
    </row>
    <row r="592" spans="6:18" x14ac:dyDescent="0.35">
      <c r="H592" s="20"/>
      <c r="Q592" s="2"/>
      <c r="R592" s="2"/>
    </row>
    <row r="593" spans="6:18" x14ac:dyDescent="0.35">
      <c r="H593" s="20"/>
      <c r="Q593" s="2"/>
      <c r="R593" s="2"/>
    </row>
    <row r="594" spans="6:18" x14ac:dyDescent="0.35">
      <c r="H594" s="20"/>
      <c r="Q594" s="2"/>
      <c r="R594" s="2"/>
    </row>
    <row r="595" spans="6:18" x14ac:dyDescent="0.35">
      <c r="F595" s="2"/>
      <c r="H595" s="20"/>
      <c r="K595" s="2"/>
      <c r="L595" s="2"/>
      <c r="M595" s="2"/>
      <c r="Q595" s="2"/>
      <c r="R595" s="2"/>
    </row>
    <row r="596" spans="6:18" x14ac:dyDescent="0.35">
      <c r="H596" s="20"/>
      <c r="K596" s="2"/>
      <c r="L596" s="2"/>
      <c r="M596" s="2"/>
      <c r="Q596" s="2"/>
      <c r="R596" s="2"/>
    </row>
    <row r="597" spans="6:18" x14ac:dyDescent="0.35">
      <c r="F597" s="2"/>
      <c r="H597" s="20"/>
      <c r="K597" s="2"/>
      <c r="L597" s="2"/>
      <c r="M597" s="2"/>
      <c r="Q597" s="2"/>
      <c r="R597" s="2"/>
    </row>
    <row r="598" spans="6:18" x14ac:dyDescent="0.35">
      <c r="H598" s="20"/>
      <c r="Q598" s="2"/>
      <c r="R598" s="2"/>
    </row>
    <row r="599" spans="6:18" x14ac:dyDescent="0.35">
      <c r="F599" s="2"/>
      <c r="H599" s="20"/>
      <c r="K599" s="2"/>
      <c r="L599" s="2"/>
      <c r="M599" s="2"/>
      <c r="Q599" s="2"/>
      <c r="R599" s="2"/>
    </row>
    <row r="600" spans="6:18" x14ac:dyDescent="0.35">
      <c r="H600" s="20"/>
      <c r="Q600" s="2"/>
      <c r="R600" s="2"/>
    </row>
    <row r="601" spans="6:18" x14ac:dyDescent="0.35">
      <c r="H601" s="20"/>
      <c r="Q601" s="2"/>
      <c r="R601" s="2"/>
    </row>
    <row r="602" spans="6:18" x14ac:dyDescent="0.35">
      <c r="F602" s="2"/>
      <c r="H602" s="20"/>
      <c r="K602" s="2"/>
      <c r="L602" s="2"/>
      <c r="M602" s="2"/>
      <c r="Q602" s="2"/>
      <c r="R602" s="2"/>
    </row>
    <row r="603" spans="6:18" x14ac:dyDescent="0.35">
      <c r="H603" s="20"/>
      <c r="Q603" s="2"/>
      <c r="R603" s="2"/>
    </row>
    <row r="604" spans="6:18" x14ac:dyDescent="0.35">
      <c r="H604" s="20"/>
      <c r="Q604" s="2"/>
      <c r="R604" s="2"/>
    </row>
    <row r="605" spans="6:18" x14ac:dyDescent="0.35">
      <c r="F605" s="2"/>
      <c r="G605" s="2"/>
      <c r="H605" s="20"/>
      <c r="K605" s="2"/>
      <c r="L605" s="2"/>
      <c r="M605" s="2"/>
      <c r="Q605" s="2"/>
      <c r="R605" s="2"/>
    </row>
    <row r="606" spans="6:18" x14ac:dyDescent="0.35">
      <c r="H606" s="20"/>
      <c r="Q606" s="2"/>
      <c r="R606" s="2"/>
    </row>
    <row r="607" spans="6:18" x14ac:dyDescent="0.35">
      <c r="F607" s="2"/>
      <c r="H607" s="20"/>
      <c r="K607" s="2"/>
      <c r="L607" s="2"/>
      <c r="M607" s="2"/>
      <c r="Q607" s="2"/>
      <c r="R607" s="2"/>
    </row>
    <row r="608" spans="6:18" x14ac:dyDescent="0.35">
      <c r="F608" s="2"/>
      <c r="H608" s="20"/>
      <c r="K608" s="2"/>
      <c r="L608" s="2"/>
      <c r="M608" s="2"/>
      <c r="Q608" s="2"/>
      <c r="R608" s="2"/>
    </row>
    <row r="609" spans="6:18" x14ac:dyDescent="0.35">
      <c r="F609" s="2"/>
      <c r="H609" s="20"/>
      <c r="K609" s="2"/>
      <c r="L609" s="2"/>
      <c r="M609" s="2"/>
      <c r="Q609" s="2"/>
      <c r="R609" s="2"/>
    </row>
    <row r="610" spans="6:18" x14ac:dyDescent="0.35">
      <c r="H610" s="20"/>
      <c r="Q610" s="2"/>
      <c r="R610" s="2"/>
    </row>
    <row r="611" spans="6:18" x14ac:dyDescent="0.35">
      <c r="F611" s="2"/>
      <c r="H611" s="20"/>
      <c r="K611" s="2"/>
      <c r="L611" s="2"/>
      <c r="M611" s="2"/>
      <c r="Q611" s="2"/>
      <c r="R611" s="2"/>
    </row>
    <row r="612" spans="6:18" x14ac:dyDescent="0.35">
      <c r="F612" s="2"/>
      <c r="G612" s="2"/>
      <c r="H612" s="20"/>
      <c r="K612" s="2"/>
      <c r="L612" s="2"/>
      <c r="M612" s="2"/>
      <c r="Q612" s="2"/>
      <c r="R612" s="2"/>
    </row>
    <row r="613" spans="6:18" x14ac:dyDescent="0.35">
      <c r="H613" s="20"/>
      <c r="Q613" s="2"/>
      <c r="R613" s="2"/>
    </row>
    <row r="614" spans="6:18" x14ac:dyDescent="0.35">
      <c r="F614" s="2"/>
      <c r="H614" s="20"/>
      <c r="K614" s="2"/>
      <c r="L614" s="2"/>
      <c r="M614" s="2"/>
      <c r="Q614" s="2"/>
      <c r="R614" s="2"/>
    </row>
    <row r="615" spans="6:18" x14ac:dyDescent="0.35">
      <c r="H615" s="20"/>
      <c r="Q615" s="2"/>
      <c r="R615" s="2"/>
    </row>
    <row r="616" spans="6:18" x14ac:dyDescent="0.35">
      <c r="H616" s="20"/>
      <c r="Q616" s="2"/>
      <c r="R616" s="2"/>
    </row>
    <row r="617" spans="6:18" x14ac:dyDescent="0.35">
      <c r="H617" s="20"/>
      <c r="Q617" s="2"/>
      <c r="R617" s="2"/>
    </row>
    <row r="618" spans="6:18" x14ac:dyDescent="0.35">
      <c r="F618" s="2"/>
      <c r="H618" s="20"/>
      <c r="K618" s="2"/>
      <c r="L618" s="2"/>
      <c r="M618" s="2"/>
      <c r="Q618" s="2"/>
      <c r="R618" s="2"/>
    </row>
    <row r="619" spans="6:18" x14ac:dyDescent="0.35">
      <c r="F619" s="2"/>
      <c r="G619" s="2"/>
      <c r="H619" s="20"/>
      <c r="I619" s="2"/>
      <c r="J619" s="2"/>
      <c r="K619" s="2"/>
      <c r="L619" s="2"/>
      <c r="M619" s="2"/>
      <c r="Q619" s="2"/>
      <c r="R619" s="2"/>
    </row>
    <row r="620" spans="6:18" x14ac:dyDescent="0.35">
      <c r="H620" s="20"/>
      <c r="Q620" s="2"/>
      <c r="R620" s="2"/>
    </row>
    <row r="621" spans="6:18" x14ac:dyDescent="0.35">
      <c r="F621" s="2"/>
      <c r="G621" s="2"/>
      <c r="H621" s="20"/>
      <c r="I621" s="2"/>
      <c r="J621" s="2"/>
      <c r="K621" s="2"/>
      <c r="L621" s="2"/>
      <c r="M621" s="2"/>
      <c r="Q621" s="2"/>
      <c r="R621" s="2"/>
    </row>
    <row r="622" spans="6:18" x14ac:dyDescent="0.35">
      <c r="F622" s="2"/>
      <c r="G622" s="2"/>
      <c r="H622" s="20"/>
      <c r="I622" s="2"/>
      <c r="J622" s="2"/>
      <c r="K622" s="2"/>
      <c r="L622" s="2"/>
      <c r="M622" s="2"/>
      <c r="Q622" s="2"/>
      <c r="R622" s="2"/>
    </row>
    <row r="623" spans="6:18" x14ac:dyDescent="0.35">
      <c r="H623" s="20"/>
      <c r="K623" s="2"/>
      <c r="L623" s="2"/>
      <c r="M623" s="2"/>
      <c r="Q623" s="2"/>
      <c r="R623" s="2"/>
    </row>
    <row r="624" spans="6:18" x14ac:dyDescent="0.35">
      <c r="F624" s="2"/>
      <c r="H624" s="20"/>
      <c r="K624" s="2"/>
      <c r="L624" s="2"/>
      <c r="M624" s="2"/>
      <c r="Q624" s="2"/>
      <c r="R624" s="2"/>
    </row>
    <row r="625" spans="6:18" x14ac:dyDescent="0.35">
      <c r="H625" s="20"/>
      <c r="Q625" s="2"/>
      <c r="R625" s="2"/>
    </row>
    <row r="626" spans="6:18" x14ac:dyDescent="0.35">
      <c r="H626" s="20"/>
      <c r="K626" s="2"/>
      <c r="L626" s="2"/>
      <c r="M626" s="2"/>
      <c r="Q626" s="2"/>
      <c r="R626" s="2"/>
    </row>
    <row r="627" spans="6:18" x14ac:dyDescent="0.35">
      <c r="F627" s="2"/>
      <c r="G627" s="2"/>
      <c r="H627" s="20"/>
      <c r="K627" s="2"/>
      <c r="L627" s="2"/>
      <c r="M627" s="2"/>
      <c r="Q627" s="2"/>
      <c r="R627" s="2"/>
    </row>
    <row r="628" spans="6:18" x14ac:dyDescent="0.35">
      <c r="F628" s="2"/>
      <c r="G628" s="2"/>
      <c r="H628" s="20"/>
      <c r="I628" s="2"/>
      <c r="J628" s="2"/>
      <c r="K628" s="2"/>
      <c r="L628" s="2"/>
      <c r="M628" s="2"/>
      <c r="Q628" s="2"/>
      <c r="R628" s="2"/>
    </row>
    <row r="629" spans="6:18" x14ac:dyDescent="0.35">
      <c r="H629" s="20"/>
      <c r="Q629" s="2"/>
      <c r="R629" s="2"/>
    </row>
    <row r="630" spans="6:18" x14ac:dyDescent="0.35">
      <c r="H630" s="20"/>
      <c r="Q630" s="2"/>
      <c r="R630" s="2"/>
    </row>
    <row r="631" spans="6:18" x14ac:dyDescent="0.35">
      <c r="H631" s="20"/>
      <c r="Q631" s="2"/>
      <c r="R631" s="2"/>
    </row>
    <row r="632" spans="6:18" x14ac:dyDescent="0.35">
      <c r="F632" s="2"/>
      <c r="H632" s="20"/>
      <c r="K632" s="2"/>
      <c r="L632" s="2"/>
      <c r="M632" s="2"/>
      <c r="Q632" s="2"/>
      <c r="R632" s="2"/>
    </row>
    <row r="633" spans="6:18" x14ac:dyDescent="0.35">
      <c r="H633" s="20"/>
      <c r="Q633" s="2"/>
      <c r="R633" s="2"/>
    </row>
    <row r="634" spans="6:18" x14ac:dyDescent="0.35">
      <c r="H634" s="20"/>
      <c r="Q634" s="2"/>
      <c r="R634" s="2"/>
    </row>
    <row r="635" spans="6:18" x14ac:dyDescent="0.35">
      <c r="H635" s="20"/>
      <c r="Q635" s="2"/>
      <c r="R635" s="2"/>
    </row>
    <row r="636" spans="6:18" x14ac:dyDescent="0.35">
      <c r="H636" s="20"/>
      <c r="Q636" s="2"/>
      <c r="R636" s="2"/>
    </row>
    <row r="637" spans="6:18" x14ac:dyDescent="0.35">
      <c r="F637" s="2"/>
      <c r="H637" s="20"/>
      <c r="I637" s="2"/>
      <c r="J637" s="2"/>
      <c r="K637" s="2"/>
      <c r="L637" s="2"/>
      <c r="M637" s="2"/>
      <c r="Q637" s="2"/>
      <c r="R637" s="2"/>
    </row>
    <row r="638" spans="6:18" x14ac:dyDescent="0.35">
      <c r="H638" s="20"/>
      <c r="Q638" s="2"/>
      <c r="R638" s="2"/>
    </row>
    <row r="639" spans="6:18" x14ac:dyDescent="0.35">
      <c r="F639" s="2"/>
      <c r="H639" s="20"/>
      <c r="K639" s="2"/>
      <c r="L639" s="2"/>
      <c r="M639" s="2"/>
      <c r="Q639" s="2"/>
      <c r="R639" s="2"/>
    </row>
    <row r="640" spans="6:18" x14ac:dyDescent="0.35">
      <c r="F640" s="2"/>
      <c r="H640" s="20"/>
      <c r="K640" s="2"/>
      <c r="L640" s="2"/>
      <c r="M640" s="2"/>
      <c r="Q640" s="2"/>
      <c r="R640" s="2"/>
    </row>
    <row r="641" spans="6:18" x14ac:dyDescent="0.35">
      <c r="F641" s="2"/>
      <c r="H641" s="20"/>
      <c r="K641" s="2"/>
      <c r="L641" s="2"/>
      <c r="M641" s="2"/>
      <c r="Q641" s="2"/>
      <c r="R641" s="2"/>
    </row>
    <row r="642" spans="6:18" x14ac:dyDescent="0.35">
      <c r="H642" s="20"/>
      <c r="Q642" s="2"/>
      <c r="R642" s="2"/>
    </row>
    <row r="643" spans="6:18" x14ac:dyDescent="0.35">
      <c r="H643" s="20"/>
      <c r="Q643" s="2"/>
      <c r="R643" s="2"/>
    </row>
    <row r="644" spans="6:18" x14ac:dyDescent="0.35">
      <c r="H644" s="20"/>
      <c r="Q644" s="2"/>
      <c r="R644" s="2"/>
    </row>
    <row r="645" spans="6:18" x14ac:dyDescent="0.35">
      <c r="F645" s="2"/>
      <c r="G645" s="2"/>
      <c r="H645" s="20"/>
      <c r="K645" s="2"/>
      <c r="L645" s="2"/>
      <c r="M645" s="2"/>
      <c r="Q645" s="2"/>
      <c r="R645" s="2"/>
    </row>
    <row r="646" spans="6:18" x14ac:dyDescent="0.35">
      <c r="H646" s="20"/>
      <c r="Q646" s="2"/>
      <c r="R646" s="2"/>
    </row>
    <row r="647" spans="6:18" x14ac:dyDescent="0.35">
      <c r="H647" s="20"/>
      <c r="Q647" s="2"/>
      <c r="R647" s="2"/>
    </row>
    <row r="648" spans="6:18" x14ac:dyDescent="0.35">
      <c r="F648" s="2"/>
      <c r="H648" s="20"/>
      <c r="K648" s="2"/>
      <c r="L648" s="2"/>
      <c r="M648" s="2"/>
      <c r="Q648" s="2"/>
      <c r="R648" s="2"/>
    </row>
    <row r="649" spans="6:18" x14ac:dyDescent="0.35">
      <c r="F649" s="2"/>
      <c r="H649" s="20"/>
      <c r="K649" s="2"/>
      <c r="L649" s="2"/>
      <c r="M649" s="2"/>
      <c r="Q649" s="2"/>
      <c r="R649" s="2"/>
    </row>
    <row r="650" spans="6:18" x14ac:dyDescent="0.35">
      <c r="F650" s="2"/>
      <c r="H650" s="20"/>
      <c r="K650" s="2"/>
      <c r="L650" s="2"/>
      <c r="M650" s="2"/>
      <c r="Q650" s="2"/>
      <c r="R650" s="2"/>
    </row>
    <row r="651" spans="6:18" x14ac:dyDescent="0.35">
      <c r="F651" s="2"/>
      <c r="G651" s="2"/>
      <c r="H651" s="20"/>
      <c r="I651" s="2"/>
      <c r="J651" s="2"/>
      <c r="K651" s="2"/>
      <c r="L651" s="2"/>
      <c r="M651" s="2"/>
      <c r="Q651" s="2"/>
      <c r="R651" s="2"/>
    </row>
    <row r="652" spans="6:18" x14ac:dyDescent="0.35">
      <c r="H652" s="20"/>
      <c r="Q652" s="2"/>
      <c r="R652" s="2"/>
    </row>
    <row r="653" spans="6:18" x14ac:dyDescent="0.35">
      <c r="H653" s="20"/>
      <c r="Q653" s="2"/>
      <c r="R653" s="2"/>
    </row>
    <row r="654" spans="6:18" x14ac:dyDescent="0.35">
      <c r="F654" s="2"/>
      <c r="G654" s="2"/>
      <c r="H654" s="20"/>
      <c r="K654" s="2"/>
      <c r="L654" s="2"/>
      <c r="M654" s="2"/>
      <c r="Q654" s="2"/>
      <c r="R654" s="2"/>
    </row>
    <row r="655" spans="6:18" x14ac:dyDescent="0.35">
      <c r="F655" s="2"/>
      <c r="H655" s="20"/>
      <c r="I655" s="2"/>
      <c r="J655" s="2"/>
      <c r="K655" s="2"/>
      <c r="L655" s="2"/>
      <c r="M655" s="2"/>
      <c r="Q655" s="2"/>
      <c r="R655" s="2"/>
    </row>
    <row r="656" spans="6:18" x14ac:dyDescent="0.35">
      <c r="F656" s="2"/>
      <c r="G656" s="2"/>
      <c r="H656" s="20"/>
      <c r="K656" s="2"/>
      <c r="L656" s="2"/>
      <c r="M656" s="2"/>
      <c r="Q656" s="2"/>
      <c r="R656" s="2"/>
    </row>
    <row r="657" spans="6:18" x14ac:dyDescent="0.35">
      <c r="F657" s="2"/>
      <c r="G657" s="2"/>
      <c r="H657" s="20"/>
      <c r="K657" s="2"/>
      <c r="L657" s="2"/>
      <c r="M657" s="2"/>
      <c r="Q657" s="2"/>
      <c r="R657" s="2"/>
    </row>
    <row r="658" spans="6:18" x14ac:dyDescent="0.35">
      <c r="H658" s="20"/>
      <c r="Q658" s="2"/>
      <c r="R658" s="2"/>
    </row>
    <row r="659" spans="6:18" x14ac:dyDescent="0.35">
      <c r="F659" s="2"/>
      <c r="G659" s="2"/>
      <c r="H659" s="20"/>
      <c r="I659" s="2"/>
      <c r="J659" s="2"/>
      <c r="K659" s="2"/>
      <c r="L659" s="2"/>
      <c r="M659" s="2"/>
      <c r="Q659" s="2"/>
      <c r="R659" s="2"/>
    </row>
    <row r="660" spans="6:18" x14ac:dyDescent="0.35">
      <c r="H660" s="20"/>
      <c r="Q660" s="2"/>
      <c r="R660" s="2"/>
    </row>
    <row r="661" spans="6:18" x14ac:dyDescent="0.35">
      <c r="H661" s="20"/>
      <c r="Q661" s="2"/>
      <c r="R661" s="2"/>
    </row>
    <row r="662" spans="6:18" x14ac:dyDescent="0.35">
      <c r="F662" s="2"/>
      <c r="H662" s="20"/>
      <c r="K662" s="2"/>
      <c r="L662" s="2"/>
      <c r="M662" s="2"/>
      <c r="Q662" s="2"/>
      <c r="R662" s="2"/>
    </row>
    <row r="663" spans="6:18" x14ac:dyDescent="0.35">
      <c r="F663" s="2"/>
      <c r="G663" s="2"/>
      <c r="H663" s="20"/>
      <c r="K663" s="2"/>
      <c r="L663" s="2"/>
      <c r="M663" s="2"/>
      <c r="Q663" s="2"/>
      <c r="R663" s="2"/>
    </row>
    <row r="664" spans="6:18" x14ac:dyDescent="0.35">
      <c r="H664" s="20"/>
      <c r="Q664" s="2"/>
      <c r="R664" s="2"/>
    </row>
    <row r="665" spans="6:18" x14ac:dyDescent="0.35">
      <c r="H665" s="20"/>
      <c r="Q665" s="2"/>
      <c r="R665" s="2"/>
    </row>
    <row r="666" spans="6:18" x14ac:dyDescent="0.35">
      <c r="H666" s="20"/>
      <c r="Q666" s="2"/>
      <c r="R666" s="2"/>
    </row>
    <row r="667" spans="6:18" x14ac:dyDescent="0.35">
      <c r="F667" s="2"/>
      <c r="G667" s="2"/>
      <c r="H667" s="20"/>
      <c r="I667" s="2"/>
      <c r="J667" s="2"/>
      <c r="K667" s="2"/>
      <c r="L667" s="2"/>
      <c r="M667" s="2"/>
      <c r="Q667" s="2"/>
      <c r="R667" s="2"/>
    </row>
    <row r="668" spans="6:18" x14ac:dyDescent="0.35">
      <c r="F668" s="2"/>
      <c r="G668" s="2"/>
      <c r="H668" s="20"/>
      <c r="K668" s="2"/>
      <c r="L668" s="2"/>
      <c r="M668" s="2"/>
      <c r="Q668" s="2"/>
      <c r="R668" s="2"/>
    </row>
    <row r="669" spans="6:18" x14ac:dyDescent="0.35">
      <c r="H669" s="20"/>
      <c r="Q669" s="2"/>
      <c r="R669" s="2"/>
    </row>
    <row r="670" spans="6:18" x14ac:dyDescent="0.35">
      <c r="H670" s="20"/>
      <c r="Q670" s="2"/>
      <c r="R670" s="2"/>
    </row>
    <row r="671" spans="6:18" x14ac:dyDescent="0.35">
      <c r="H671" s="20"/>
      <c r="Q671" s="2"/>
      <c r="R671" s="2"/>
    </row>
    <row r="672" spans="6:18" x14ac:dyDescent="0.35">
      <c r="F672" s="2"/>
      <c r="H672" s="20"/>
      <c r="K672" s="2"/>
      <c r="L672" s="2"/>
      <c r="M672" s="2"/>
      <c r="Q672" s="2"/>
      <c r="R672" s="2"/>
    </row>
    <row r="673" spans="6:18" x14ac:dyDescent="0.35">
      <c r="H673" s="20"/>
      <c r="Q673" s="2"/>
      <c r="R673" s="2"/>
    </row>
    <row r="674" spans="6:18" x14ac:dyDescent="0.35">
      <c r="F674" s="2"/>
      <c r="H674" s="20"/>
      <c r="K674" s="2"/>
      <c r="L674" s="2"/>
      <c r="M674" s="2"/>
      <c r="Q674" s="2"/>
      <c r="R674" s="2"/>
    </row>
    <row r="675" spans="6:18" x14ac:dyDescent="0.35">
      <c r="H675" s="20"/>
      <c r="Q675" s="2"/>
      <c r="R675" s="2"/>
    </row>
    <row r="676" spans="6:18" x14ac:dyDescent="0.35">
      <c r="F676" s="2"/>
      <c r="H676" s="20"/>
      <c r="I676" s="2"/>
      <c r="J676" s="2"/>
      <c r="K676" s="2"/>
      <c r="L676" s="2"/>
      <c r="M676" s="2"/>
      <c r="Q676" s="2"/>
      <c r="R676" s="2"/>
    </row>
    <row r="677" spans="6:18" x14ac:dyDescent="0.35">
      <c r="F677" s="2"/>
      <c r="G677" s="2"/>
      <c r="H677" s="20"/>
      <c r="K677" s="2"/>
      <c r="L677" s="2"/>
      <c r="M677" s="2"/>
      <c r="Q677" s="2"/>
      <c r="R677" s="2"/>
    </row>
    <row r="678" spans="6:18" x14ac:dyDescent="0.35">
      <c r="H678" s="20"/>
      <c r="O678" s="12"/>
      <c r="Q678" s="2"/>
      <c r="R678" s="2"/>
    </row>
    <row r="679" spans="6:18" x14ac:dyDescent="0.35">
      <c r="H679" s="20"/>
      <c r="Q679" s="2"/>
      <c r="R679" s="2"/>
    </row>
    <row r="680" spans="6:18" x14ac:dyDescent="0.35">
      <c r="H680" s="20"/>
      <c r="Q680" s="2"/>
      <c r="R680" s="2"/>
    </row>
    <row r="681" spans="6:18" x14ac:dyDescent="0.35">
      <c r="H681" s="20"/>
      <c r="Q681" s="2"/>
      <c r="R681" s="2"/>
    </row>
    <row r="682" spans="6:18" x14ac:dyDescent="0.35">
      <c r="H682" s="20"/>
      <c r="Q682" s="2"/>
      <c r="R682" s="2"/>
    </row>
    <row r="683" spans="6:18" x14ac:dyDescent="0.35">
      <c r="H683" s="20"/>
      <c r="Q683" s="2"/>
      <c r="R683" s="2"/>
    </row>
    <row r="684" spans="6:18" x14ac:dyDescent="0.35">
      <c r="H684" s="20"/>
      <c r="Q684" s="2"/>
      <c r="R684" s="2"/>
    </row>
    <row r="685" spans="6:18" x14ac:dyDescent="0.35">
      <c r="H685" s="20"/>
      <c r="Q685" s="2"/>
      <c r="R685" s="2"/>
    </row>
    <row r="686" spans="6:18" x14ac:dyDescent="0.35">
      <c r="H686" s="20"/>
      <c r="Q686" s="2"/>
      <c r="R686" s="2"/>
    </row>
    <row r="687" spans="6:18" x14ac:dyDescent="0.35">
      <c r="H687" s="20"/>
      <c r="Q687" s="2"/>
      <c r="R687" s="2"/>
    </row>
    <row r="688" spans="6:18" x14ac:dyDescent="0.35">
      <c r="F688" s="2"/>
      <c r="G688" s="2"/>
      <c r="H688" s="20"/>
      <c r="I688" s="2"/>
      <c r="J688" s="2"/>
      <c r="K688" s="2"/>
      <c r="L688" s="2"/>
      <c r="M688" s="2"/>
      <c r="Q688" s="2"/>
      <c r="R688" s="2"/>
    </row>
    <row r="689" spans="6:18" x14ac:dyDescent="0.35">
      <c r="F689" s="2"/>
      <c r="G689" s="2"/>
      <c r="H689" s="20"/>
      <c r="I689" s="2"/>
      <c r="J689" s="2"/>
      <c r="K689" s="2"/>
      <c r="L689" s="2"/>
      <c r="M689" s="2"/>
      <c r="Q689" s="2"/>
      <c r="R689" s="2"/>
    </row>
    <row r="690" spans="6:18" x14ac:dyDescent="0.35">
      <c r="H690" s="20"/>
      <c r="Q690" s="2"/>
      <c r="R690" s="2"/>
    </row>
    <row r="691" spans="6:18" x14ac:dyDescent="0.35">
      <c r="H691" s="20"/>
      <c r="Q691" s="2"/>
      <c r="R691" s="2"/>
    </row>
    <row r="692" spans="6:18" x14ac:dyDescent="0.35">
      <c r="H692" s="20"/>
      <c r="Q692" s="2"/>
      <c r="R692" s="2"/>
    </row>
    <row r="693" spans="6:18" x14ac:dyDescent="0.35">
      <c r="H693" s="20"/>
      <c r="Q693" s="2"/>
      <c r="R693" s="2"/>
    </row>
    <row r="694" spans="6:18" x14ac:dyDescent="0.35">
      <c r="H694" s="20"/>
      <c r="Q694" s="2"/>
      <c r="R694" s="2"/>
    </row>
    <row r="695" spans="6:18" x14ac:dyDescent="0.35">
      <c r="H695" s="20"/>
      <c r="Q695" s="2"/>
      <c r="R695" s="2"/>
    </row>
    <row r="696" spans="6:18" x14ac:dyDescent="0.35">
      <c r="H696" s="20"/>
      <c r="Q696" s="2"/>
      <c r="R696" s="2"/>
    </row>
    <row r="697" spans="6:18" x14ac:dyDescent="0.35">
      <c r="H697" s="20"/>
      <c r="Q697" s="2"/>
      <c r="R697" s="2"/>
    </row>
    <row r="698" spans="6:18" x14ac:dyDescent="0.35">
      <c r="H698" s="20"/>
      <c r="Q698" s="2"/>
      <c r="R698" s="2"/>
    </row>
    <row r="699" spans="6:18" x14ac:dyDescent="0.35">
      <c r="H699" s="20"/>
      <c r="Q699" s="2"/>
      <c r="R699" s="2"/>
    </row>
    <row r="700" spans="6:18" x14ac:dyDescent="0.35">
      <c r="H700" s="20"/>
      <c r="Q700" s="2"/>
      <c r="R700" s="2"/>
    </row>
    <row r="701" spans="6:18" x14ac:dyDescent="0.35">
      <c r="H701" s="20"/>
      <c r="Q701" s="2"/>
      <c r="R701" s="2"/>
    </row>
    <row r="702" spans="6:18" x14ac:dyDescent="0.35">
      <c r="H702" s="20"/>
      <c r="Q702" s="2"/>
      <c r="R702" s="2"/>
    </row>
    <row r="703" spans="6:18" x14ac:dyDescent="0.35">
      <c r="H703" s="20"/>
      <c r="Q703" s="2"/>
      <c r="R703" s="2"/>
    </row>
    <row r="704" spans="6:18" x14ac:dyDescent="0.35">
      <c r="F704" s="2"/>
      <c r="G704" s="2"/>
      <c r="H704" s="20"/>
      <c r="K704" s="2"/>
      <c r="L704" s="2"/>
      <c r="M704" s="2"/>
      <c r="Q704" s="2"/>
      <c r="R704" s="2"/>
    </row>
    <row r="705" spans="6:18" x14ac:dyDescent="0.35">
      <c r="F705" s="2"/>
      <c r="H705" s="20"/>
      <c r="K705" s="2"/>
      <c r="L705" s="2"/>
      <c r="M705" s="2"/>
      <c r="Q705" s="2"/>
      <c r="R705" s="2"/>
    </row>
    <row r="706" spans="6:18" x14ac:dyDescent="0.35">
      <c r="H706" s="20"/>
      <c r="Q706" s="2"/>
      <c r="R706" s="2"/>
    </row>
    <row r="707" spans="6:18" x14ac:dyDescent="0.35">
      <c r="F707" s="2"/>
      <c r="G707" s="2"/>
      <c r="H707" s="20"/>
      <c r="K707" s="2"/>
      <c r="L707" s="2"/>
      <c r="M707" s="2"/>
      <c r="Q707" s="2"/>
      <c r="R707" s="2"/>
    </row>
    <row r="708" spans="6:18" x14ac:dyDescent="0.35">
      <c r="F708" s="2"/>
      <c r="G708" s="2"/>
      <c r="H708" s="20"/>
      <c r="I708" s="2"/>
      <c r="J708" s="2"/>
      <c r="K708" s="2"/>
      <c r="L708" s="2"/>
      <c r="M708" s="2"/>
      <c r="Q708" s="2"/>
      <c r="R708" s="2"/>
    </row>
    <row r="709" spans="6:18" x14ac:dyDescent="0.35">
      <c r="H709" s="20"/>
      <c r="Q709" s="2"/>
      <c r="R709" s="2"/>
    </row>
    <row r="710" spans="6:18" x14ac:dyDescent="0.35">
      <c r="H710" s="20"/>
      <c r="Q710" s="2"/>
      <c r="R710" s="2"/>
    </row>
    <row r="711" spans="6:18" x14ac:dyDescent="0.35">
      <c r="H711" s="20"/>
      <c r="Q711" s="2"/>
      <c r="R711" s="2"/>
    </row>
    <row r="712" spans="6:18" x14ac:dyDescent="0.35">
      <c r="H712" s="20"/>
      <c r="Q712" s="2"/>
      <c r="R712" s="2"/>
    </row>
    <row r="713" spans="6:18" x14ac:dyDescent="0.35">
      <c r="H713" s="20"/>
      <c r="Q713" s="2"/>
      <c r="R713" s="2"/>
    </row>
    <row r="714" spans="6:18" x14ac:dyDescent="0.35">
      <c r="F714" s="2"/>
      <c r="H714" s="20"/>
      <c r="K714" s="2"/>
      <c r="L714" s="2"/>
      <c r="M714" s="2"/>
      <c r="Q714" s="2"/>
      <c r="R714" s="2"/>
    </row>
    <row r="715" spans="6:18" x14ac:dyDescent="0.35">
      <c r="H715" s="20"/>
      <c r="Q715" s="2"/>
      <c r="R715" s="2"/>
    </row>
    <row r="716" spans="6:18" x14ac:dyDescent="0.35">
      <c r="H716" s="20"/>
      <c r="Q716" s="2"/>
      <c r="R716" s="2"/>
    </row>
    <row r="717" spans="6:18" x14ac:dyDescent="0.35">
      <c r="H717" s="20"/>
      <c r="Q717" s="2"/>
      <c r="R717" s="2"/>
    </row>
    <row r="718" spans="6:18" x14ac:dyDescent="0.35">
      <c r="H718" s="20"/>
      <c r="Q718" s="2"/>
      <c r="R718" s="2"/>
    </row>
    <row r="719" spans="6:18" x14ac:dyDescent="0.35">
      <c r="H719" s="20"/>
      <c r="K719" s="2"/>
      <c r="L719" s="2"/>
      <c r="M719" s="2"/>
      <c r="Q719" s="2"/>
      <c r="R719" s="2"/>
    </row>
    <row r="720" spans="6:18" x14ac:dyDescent="0.35">
      <c r="H720" s="20"/>
      <c r="Q720" s="2"/>
      <c r="R720" s="2"/>
    </row>
    <row r="721" spans="8:18" x14ac:dyDescent="0.35">
      <c r="H721" s="20"/>
      <c r="Q721" s="2"/>
      <c r="R721" s="2"/>
    </row>
    <row r="722" spans="8:18" x14ac:dyDescent="0.35">
      <c r="H722" s="20"/>
      <c r="Q722" s="2"/>
      <c r="R722" s="2"/>
    </row>
    <row r="723" spans="8:18" x14ac:dyDescent="0.35">
      <c r="H723" s="20"/>
      <c r="Q723" s="2"/>
      <c r="R723" s="2"/>
    </row>
    <row r="724" spans="8:18" x14ac:dyDescent="0.35">
      <c r="H724" s="20"/>
      <c r="Q724" s="2"/>
      <c r="R724" s="2"/>
    </row>
    <row r="725" spans="8:18" x14ac:dyDescent="0.35">
      <c r="H725" s="20"/>
      <c r="Q725" s="2"/>
      <c r="R725" s="2"/>
    </row>
    <row r="726" spans="8:18" x14ac:dyDescent="0.35">
      <c r="H726" s="20"/>
      <c r="Q726" s="2"/>
      <c r="R726" s="2"/>
    </row>
    <row r="727" spans="8:18" x14ac:dyDescent="0.35">
      <c r="H727" s="20"/>
      <c r="Q727" s="2"/>
      <c r="R727" s="2"/>
    </row>
    <row r="728" spans="8:18" x14ac:dyDescent="0.35">
      <c r="H728" s="20"/>
      <c r="Q728" s="2"/>
      <c r="R728" s="2"/>
    </row>
    <row r="729" spans="8:18" x14ac:dyDescent="0.35">
      <c r="H729" s="20"/>
      <c r="K729" s="2"/>
      <c r="L729" s="2"/>
      <c r="M729" s="2"/>
      <c r="Q729" s="2"/>
      <c r="R729" s="2"/>
    </row>
    <row r="730" spans="8:18" x14ac:dyDescent="0.35">
      <c r="H730" s="20"/>
      <c r="Q730" s="2"/>
      <c r="R730" s="2"/>
    </row>
    <row r="731" spans="8:18" x14ac:dyDescent="0.35">
      <c r="H731" s="20"/>
      <c r="Q731" s="2"/>
      <c r="R731" s="2"/>
    </row>
    <row r="732" spans="8:18" x14ac:dyDescent="0.35">
      <c r="H732" s="20"/>
      <c r="Q732" s="2"/>
      <c r="R732" s="2"/>
    </row>
    <row r="733" spans="8:18" x14ac:dyDescent="0.35">
      <c r="H733" s="20"/>
      <c r="K733" s="2"/>
      <c r="L733" s="2"/>
      <c r="M733" s="2"/>
      <c r="Q733" s="2"/>
      <c r="R733" s="2"/>
    </row>
    <row r="734" spans="8:18" x14ac:dyDescent="0.35">
      <c r="H734" s="20"/>
      <c r="Q734" s="2"/>
      <c r="R734" s="2"/>
    </row>
    <row r="735" spans="8:18" x14ac:dyDescent="0.35">
      <c r="H735" s="20"/>
      <c r="Q735" s="2"/>
      <c r="R735" s="2"/>
    </row>
    <row r="736" spans="8:18" x14ac:dyDescent="0.35">
      <c r="H736" s="20"/>
      <c r="Q736" s="2"/>
      <c r="R736" s="2"/>
    </row>
    <row r="737" spans="8:18" x14ac:dyDescent="0.35">
      <c r="H737" s="20"/>
      <c r="Q737" s="2"/>
      <c r="R737" s="2"/>
    </row>
    <row r="738" spans="8:18" x14ac:dyDescent="0.35">
      <c r="H738" s="20"/>
      <c r="Q738" s="2"/>
      <c r="R738" s="2"/>
    </row>
    <row r="739" spans="8:18" x14ac:dyDescent="0.35">
      <c r="H739" s="20"/>
      <c r="Q739" s="2"/>
      <c r="R739" s="2"/>
    </row>
  </sheetData>
  <autoFilter ref="A3:T152" xr:uid="{00000000-0001-0000-0000-000000000000}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895DEE-926B-45D1-9375-12F19A16CB4E}">
  <dimension ref="A1:P135"/>
  <sheetViews>
    <sheetView zoomScaleNormal="100" workbookViewId="0">
      <selection activeCell="D17" sqref="D17"/>
    </sheetView>
  </sheetViews>
  <sheetFormatPr defaultRowHeight="14.5" x14ac:dyDescent="0.35"/>
  <cols>
    <col min="1" max="1" width="12" style="4" bestFit="1" customWidth="1"/>
    <col min="2" max="2" width="4.1796875" style="4" bestFit="1" customWidth="1"/>
    <col min="3" max="3" width="11.36328125" style="4" bestFit="1" customWidth="1"/>
    <col min="4" max="4" width="19.6328125" style="4" bestFit="1" customWidth="1"/>
    <col min="5" max="5" width="24.36328125" style="4" bestFit="1" customWidth="1"/>
    <col min="6" max="6" width="15.08984375" style="4" bestFit="1" customWidth="1"/>
    <col min="7" max="7" width="22" style="4" bestFit="1" customWidth="1"/>
    <col min="8" max="8" width="14.54296875" style="4" bestFit="1" customWidth="1"/>
    <col min="9" max="9" width="19" style="4" bestFit="1" customWidth="1"/>
    <col min="10" max="10" width="10.54296875" bestFit="1" customWidth="1"/>
    <col min="11" max="11" width="11.36328125" bestFit="1" customWidth="1"/>
    <col min="12" max="12" width="19.7265625" bestFit="1" customWidth="1"/>
    <col min="13" max="13" width="20.6328125" bestFit="1" customWidth="1"/>
    <col min="14" max="14" width="19.08984375" bestFit="1" customWidth="1"/>
    <col min="15" max="15" width="19.08984375" customWidth="1"/>
    <col min="16" max="16" width="13.1796875" bestFit="1" customWidth="1"/>
  </cols>
  <sheetData>
    <row r="1" spans="1:16" x14ac:dyDescent="0.35">
      <c r="A1" s="4" t="s">
        <v>7</v>
      </c>
      <c r="B1" s="4" t="s">
        <v>8</v>
      </c>
      <c r="C1" s="4" t="s">
        <v>14</v>
      </c>
      <c r="D1" s="4" t="s">
        <v>15</v>
      </c>
    </row>
    <row r="2" spans="1:16" x14ac:dyDescent="0.35">
      <c r="A2" s="4">
        <v>1</v>
      </c>
      <c r="B2" s="7">
        <f>SUMIF(Sheet1!$P$4:$P$46796,Sheet2!A2,Sheet1!$E$4:$E$46796)</f>
        <v>0</v>
      </c>
      <c r="C2" s="5" t="e">
        <f>SUMIF(Sheet1!$P$4:$P$46796,Sheet2!A2,Sheet1!$R$4:$R$46796)</f>
        <v>#DIV/0!</v>
      </c>
      <c r="D2" s="5" t="e">
        <f>SUMIF(Sheet1!$P$4:$P$46796,Sheet2!A2,Sheet1!$Q$4:$Q$46796)</f>
        <v>#DIV/0!</v>
      </c>
    </row>
    <row r="3" spans="1:16" x14ac:dyDescent="0.35">
      <c r="A3" s="4">
        <v>2</v>
      </c>
      <c r="B3" s="7">
        <f>SUMIF(Sheet1!$P$4:$P$46796,Sheet2!A3,Sheet1!$E$4:$E$46796)</f>
        <v>0</v>
      </c>
      <c r="C3" s="5">
        <f>SUMIF(Sheet1!$P$4:$P$46796,Sheet2!A3,Sheet1!$R$4:$R$46796)</f>
        <v>0</v>
      </c>
      <c r="D3" s="5">
        <f>SUMIF(Sheet1!$P$4:$P$46796,Sheet2!A3,Sheet1!$Q$4:$Q$46796)</f>
        <v>0</v>
      </c>
    </row>
    <row r="4" spans="1:16" x14ac:dyDescent="0.35">
      <c r="A4" s="4">
        <v>3</v>
      </c>
      <c r="B4" s="7">
        <f>SUMIF(Sheet1!$P$4:$P$46796,Sheet2!A4,Sheet1!$E$4:$E$46796)</f>
        <v>0</v>
      </c>
      <c r="C4" s="5">
        <f>SUMIF(Sheet1!$P$4:$P$46796,Sheet2!A4,Sheet1!$R$4:$R$46796)</f>
        <v>0</v>
      </c>
      <c r="D4" s="5">
        <f>SUMIF(Sheet1!$P$4:$P$46796,Sheet2!A4,Sheet1!$Q$4:$Q$46796)</f>
        <v>0</v>
      </c>
    </row>
    <row r="5" spans="1:16" x14ac:dyDescent="0.35">
      <c r="A5" s="4">
        <v>4</v>
      </c>
      <c r="B5" s="7">
        <f>SUMIF(Sheet1!$P$4:$P$46796,Sheet2!A5,Sheet1!$E$4:$E$46796)</f>
        <v>0</v>
      </c>
      <c r="C5" s="5">
        <f>SUMIF(Sheet1!$P$4:$P$46796,Sheet2!A5,Sheet1!$R$4:$R$46796)</f>
        <v>0</v>
      </c>
      <c r="D5" s="5">
        <f>SUMIF(Sheet1!$P$4:$P$46796,Sheet2!A5,Sheet1!$Q$4:$Q$46796)</f>
        <v>0</v>
      </c>
    </row>
    <row r="6" spans="1:16" x14ac:dyDescent="0.35">
      <c r="A6" s="4">
        <v>5</v>
      </c>
      <c r="B6" s="7">
        <f>SUMIF(Sheet1!$P$4:$P$46796,Sheet2!A6,Sheet1!$E$4:$E$46796)</f>
        <v>0</v>
      </c>
      <c r="C6" s="5">
        <f>SUMIF(Sheet1!$P$4:$P$46796,Sheet2!A6,Sheet1!$R$4:$R$46796)</f>
        <v>0</v>
      </c>
      <c r="D6" s="5">
        <f>SUMIF(Sheet1!$P$4:$P$46796,Sheet2!A6,Sheet1!$Q$4:$Q$46796)</f>
        <v>0</v>
      </c>
    </row>
    <row r="7" spans="1:16" x14ac:dyDescent="0.35">
      <c r="B7" s="7">
        <f>SUM(B2:B6)</f>
        <v>0</v>
      </c>
      <c r="C7" s="5" t="e">
        <f>SUM(C2:C6)</f>
        <v>#DIV/0!</v>
      </c>
      <c r="D7" s="5" t="e">
        <f>SUM(D2:D6)</f>
        <v>#DIV/0!</v>
      </c>
    </row>
    <row r="9" spans="1:16" x14ac:dyDescent="0.35">
      <c r="C9"/>
      <c r="E9"/>
    </row>
    <row r="10" spans="1:16" x14ac:dyDescent="0.35">
      <c r="A10" s="6" t="s">
        <v>10</v>
      </c>
      <c r="B10" s="6" t="s">
        <v>8</v>
      </c>
      <c r="C10" s="4" t="s">
        <v>183</v>
      </c>
      <c r="D10" s="4" t="s">
        <v>168</v>
      </c>
      <c r="E10" s="4" t="s">
        <v>182</v>
      </c>
      <c r="F10" s="4" t="s">
        <v>170</v>
      </c>
      <c r="G10" s="4" t="s">
        <v>25</v>
      </c>
      <c r="H10" s="4" t="s">
        <v>184</v>
      </c>
      <c r="I10" s="4" t="s">
        <v>11</v>
      </c>
      <c r="J10" s="15" t="s">
        <v>18</v>
      </c>
      <c r="K10" s="6" t="s">
        <v>16</v>
      </c>
      <c r="L10" s="6" t="s">
        <v>187</v>
      </c>
      <c r="M10" s="6" t="s">
        <v>186</v>
      </c>
      <c r="N10" s="6" t="s">
        <v>17</v>
      </c>
      <c r="O10" s="6" t="s">
        <v>162</v>
      </c>
      <c r="P10" s="6" t="s">
        <v>19</v>
      </c>
    </row>
    <row r="11" spans="1:16" x14ac:dyDescent="0.35">
      <c r="A11" s="15">
        <v>1</v>
      </c>
      <c r="B11" s="13">
        <v>508</v>
      </c>
      <c r="C11" s="14">
        <v>221406.5767493418</v>
      </c>
      <c r="D11" s="13">
        <v>25737.4522</v>
      </c>
      <c r="E11" s="14">
        <v>221406.5767493418</v>
      </c>
      <c r="F11" s="14">
        <v>29545.824409341803</v>
      </c>
      <c r="G11" s="14">
        <v>227370.93038249449</v>
      </c>
      <c r="H11" s="14">
        <v>2606.3699999999994</v>
      </c>
      <c r="I11"/>
    </row>
    <row r="12" spans="1:16" x14ac:dyDescent="0.35">
      <c r="A12" s="15" t="s">
        <v>20</v>
      </c>
      <c r="B12" s="13">
        <v>231</v>
      </c>
      <c r="C12" s="14">
        <v>141349.61138934182</v>
      </c>
      <c r="D12" s="13">
        <v>14883.1816</v>
      </c>
      <c r="E12" s="14">
        <v>141349.61138934182</v>
      </c>
      <c r="F12" s="14">
        <v>15589.415359341805</v>
      </c>
      <c r="G12" s="14">
        <v>148988.27105576589</v>
      </c>
      <c r="H12" s="14">
        <v>1759.7399999999993</v>
      </c>
      <c r="I12">
        <f>ROUND(H12/1000,2)</f>
        <v>1.76</v>
      </c>
      <c r="J12" s="13">
        <v>5.39</v>
      </c>
      <c r="K12" s="10">
        <f>ROUND(C12,2)</f>
        <v>141349.60999999999</v>
      </c>
      <c r="L12" s="10">
        <f>ROUND(D12,2)</f>
        <v>14883.18</v>
      </c>
      <c r="M12" s="10">
        <f>ROUND(E12,2)</f>
        <v>141349.60999999999</v>
      </c>
      <c r="N12" s="10">
        <f>ROUND(D12+F12,2)</f>
        <v>30472.6</v>
      </c>
      <c r="O12" s="10">
        <f>ROUND(G12,2)</f>
        <v>148988.26999999999</v>
      </c>
      <c r="P12" s="10">
        <f>ROUND(J12,2)</f>
        <v>5.39</v>
      </c>
    </row>
    <row r="13" spans="1:16" x14ac:dyDescent="0.35">
      <c r="A13" s="15" t="s">
        <v>21</v>
      </c>
      <c r="B13" s="13">
        <v>94</v>
      </c>
      <c r="C13" s="14">
        <v>35435.05079999999</v>
      </c>
      <c r="D13" s="13">
        <v>4302.0528000000004</v>
      </c>
      <c r="E13" s="14">
        <v>35435.05079999999</v>
      </c>
      <c r="F13" s="14">
        <v>6932.5308000000014</v>
      </c>
      <c r="G13" s="14">
        <v>32421.07711842248</v>
      </c>
      <c r="H13" s="14">
        <v>380.79999999999995</v>
      </c>
      <c r="I13">
        <f t="shared" ref="I13:I19" si="0">ROUND(H13/1000,2)</f>
        <v>0.38</v>
      </c>
      <c r="J13" s="13">
        <v>1.1599999999999999</v>
      </c>
      <c r="K13" s="10">
        <f t="shared" ref="K13:K20" si="1">ROUND(C13,2)</f>
        <v>35435.050000000003</v>
      </c>
      <c r="L13" s="10">
        <f t="shared" ref="L13:L20" si="2">ROUND(D13,2)</f>
        <v>4302.05</v>
      </c>
      <c r="M13" s="10">
        <f t="shared" ref="M13:M20" si="3">ROUND(E13,2)</f>
        <v>35435.050000000003</v>
      </c>
      <c r="N13" s="10">
        <f t="shared" ref="N13:N20" si="4">ROUND(D13+F13,2)</f>
        <v>11234.58</v>
      </c>
      <c r="O13" s="10">
        <f t="shared" ref="O13:O20" si="5">ROUND(G13,2)</f>
        <v>32421.08</v>
      </c>
      <c r="P13" s="10">
        <f t="shared" ref="P13:P20" si="6">ROUND(J13,2)</f>
        <v>1.1599999999999999</v>
      </c>
    </row>
    <row r="14" spans="1:16" x14ac:dyDescent="0.35">
      <c r="A14" s="15" t="s">
        <v>22</v>
      </c>
      <c r="B14" s="13">
        <v>15</v>
      </c>
      <c r="C14" s="14">
        <v>7272.6719000000003</v>
      </c>
      <c r="D14" s="13">
        <v>1068.9528</v>
      </c>
      <c r="E14" s="14">
        <v>7272.6719000000003</v>
      </c>
      <c r="F14" s="14">
        <v>1168.5889999999999</v>
      </c>
      <c r="G14" s="14">
        <v>6717.8841996147657</v>
      </c>
      <c r="H14" s="14">
        <v>78.510000000000005</v>
      </c>
      <c r="I14">
        <f t="shared" si="0"/>
        <v>0.08</v>
      </c>
      <c r="J14" s="13">
        <v>0.26</v>
      </c>
      <c r="K14" s="10">
        <f t="shared" si="1"/>
        <v>7272.67</v>
      </c>
      <c r="L14" s="10">
        <f t="shared" si="2"/>
        <v>1068.95</v>
      </c>
      <c r="M14" s="10">
        <f t="shared" si="3"/>
        <v>7272.67</v>
      </c>
      <c r="N14" s="10">
        <f t="shared" si="4"/>
        <v>2237.54</v>
      </c>
      <c r="O14" s="10">
        <f t="shared" si="5"/>
        <v>6717.88</v>
      </c>
      <c r="P14" s="10">
        <f t="shared" si="6"/>
        <v>0.26</v>
      </c>
    </row>
    <row r="15" spans="1:16" x14ac:dyDescent="0.35">
      <c r="A15" s="15" t="s">
        <v>177</v>
      </c>
      <c r="B15" s="13">
        <v>150</v>
      </c>
      <c r="C15" s="14">
        <v>21786.439569999999</v>
      </c>
      <c r="D15" s="13">
        <v>2240.98</v>
      </c>
      <c r="E15" s="14">
        <v>21786.439569999999</v>
      </c>
      <c r="F15" s="14">
        <v>0</v>
      </c>
      <c r="G15" s="14">
        <v>29545.746030568589</v>
      </c>
      <c r="H15" s="14">
        <v>294.62999999999994</v>
      </c>
      <c r="I15">
        <f t="shared" si="0"/>
        <v>0.28999999999999998</v>
      </c>
      <c r="J15" s="13">
        <v>0.89</v>
      </c>
      <c r="K15" s="10">
        <f t="shared" si="1"/>
        <v>21786.44</v>
      </c>
      <c r="L15" s="10">
        <f t="shared" si="2"/>
        <v>2240.98</v>
      </c>
      <c r="M15" s="10">
        <f t="shared" si="3"/>
        <v>21786.44</v>
      </c>
      <c r="N15" s="10">
        <f t="shared" si="4"/>
        <v>2240.98</v>
      </c>
      <c r="O15" s="10">
        <f t="shared" si="5"/>
        <v>29545.75</v>
      </c>
      <c r="P15" s="10">
        <f t="shared" si="6"/>
        <v>0.89</v>
      </c>
    </row>
    <row r="16" spans="1:16" x14ac:dyDescent="0.35">
      <c r="A16" s="15" t="s">
        <v>23</v>
      </c>
      <c r="B16" s="13">
        <v>1</v>
      </c>
      <c r="C16" s="14">
        <v>903.22088999999994</v>
      </c>
      <c r="D16" s="13">
        <v>104.86459999999998</v>
      </c>
      <c r="E16" s="14">
        <v>903.22088999999994</v>
      </c>
      <c r="F16" s="14">
        <v>330.00295</v>
      </c>
      <c r="G16" s="14">
        <v>632.82051547390165</v>
      </c>
      <c r="H16" s="14">
        <v>7.58</v>
      </c>
      <c r="I16">
        <f t="shared" si="0"/>
        <v>0.01</v>
      </c>
      <c r="J16" s="13">
        <v>0.03</v>
      </c>
      <c r="K16" s="10">
        <f t="shared" si="1"/>
        <v>903.22</v>
      </c>
      <c r="L16" s="10">
        <f t="shared" si="2"/>
        <v>104.86</v>
      </c>
      <c r="M16" s="10">
        <f t="shared" si="3"/>
        <v>903.22</v>
      </c>
      <c r="N16" s="10">
        <f t="shared" si="4"/>
        <v>434.87</v>
      </c>
      <c r="O16" s="10">
        <f t="shared" si="5"/>
        <v>632.82000000000005</v>
      </c>
      <c r="P16" s="10">
        <f t="shared" si="6"/>
        <v>0.03</v>
      </c>
    </row>
    <row r="17" spans="1:16" x14ac:dyDescent="0.35">
      <c r="A17" s="15" t="s">
        <v>178</v>
      </c>
      <c r="B17" s="13">
        <v>4</v>
      </c>
      <c r="C17" s="14">
        <v>8224.4091000000008</v>
      </c>
      <c r="D17" s="13">
        <v>1454.2577999999999</v>
      </c>
      <c r="E17" s="14">
        <v>8224.4091000000008</v>
      </c>
      <c r="F17" s="14">
        <v>3500.8293000000003</v>
      </c>
      <c r="G17" s="14">
        <v>4942.0458576687515</v>
      </c>
      <c r="H17" s="14">
        <v>42.7</v>
      </c>
      <c r="I17">
        <f t="shared" si="0"/>
        <v>0.04</v>
      </c>
      <c r="J17" s="13">
        <v>0.12</v>
      </c>
      <c r="K17" s="10">
        <f t="shared" si="1"/>
        <v>8224.41</v>
      </c>
      <c r="L17" s="10">
        <f t="shared" si="2"/>
        <v>1454.26</v>
      </c>
      <c r="M17" s="10">
        <f t="shared" si="3"/>
        <v>8224.41</v>
      </c>
      <c r="N17" s="10">
        <f t="shared" si="4"/>
        <v>4955.09</v>
      </c>
      <c r="O17" s="10">
        <f t="shared" si="5"/>
        <v>4942.05</v>
      </c>
      <c r="P17" s="10">
        <f t="shared" si="6"/>
        <v>0.12</v>
      </c>
    </row>
    <row r="18" spans="1:16" x14ac:dyDescent="0.35">
      <c r="A18" s="15" t="s">
        <v>179</v>
      </c>
      <c r="B18" s="13">
        <v>7</v>
      </c>
      <c r="C18" s="14">
        <v>3160.8106500000004</v>
      </c>
      <c r="D18" s="13">
        <v>848.02719999999999</v>
      </c>
      <c r="E18" s="14">
        <v>3160.8106500000004</v>
      </c>
      <c r="F18" s="14">
        <v>1185.87095</v>
      </c>
      <c r="G18" s="14">
        <v>1703.4887516678191</v>
      </c>
      <c r="H18" s="14">
        <v>22.57</v>
      </c>
      <c r="I18">
        <f t="shared" si="0"/>
        <v>0.02</v>
      </c>
      <c r="J18" s="13">
        <v>0.06</v>
      </c>
      <c r="K18" s="10">
        <f t="shared" si="1"/>
        <v>3160.81</v>
      </c>
      <c r="L18" s="10">
        <f t="shared" si="2"/>
        <v>848.03</v>
      </c>
      <c r="M18" s="10">
        <f t="shared" si="3"/>
        <v>3160.81</v>
      </c>
      <c r="N18" s="10">
        <f t="shared" si="4"/>
        <v>2033.9</v>
      </c>
      <c r="O18" s="10">
        <f t="shared" si="5"/>
        <v>1703.49</v>
      </c>
      <c r="P18" s="10">
        <f t="shared" si="6"/>
        <v>0.06</v>
      </c>
    </row>
    <row r="19" spans="1:16" x14ac:dyDescent="0.35">
      <c r="A19" s="15" t="s">
        <v>180</v>
      </c>
      <c r="B19" s="13">
        <v>5</v>
      </c>
      <c r="C19" s="14">
        <v>2729.0369500000006</v>
      </c>
      <c r="D19" s="13">
        <v>663.06479999999999</v>
      </c>
      <c r="E19" s="14">
        <v>2729.0369500000006</v>
      </c>
      <c r="F19" s="14">
        <v>606.51414999999997</v>
      </c>
      <c r="G19" s="14">
        <v>2206.178639895832</v>
      </c>
      <c r="H19" s="14">
        <v>17.900000000000002</v>
      </c>
      <c r="I19">
        <f t="shared" si="0"/>
        <v>0.02</v>
      </c>
      <c r="J19" s="13">
        <v>0.06</v>
      </c>
      <c r="K19" s="10">
        <f t="shared" si="1"/>
        <v>2729.04</v>
      </c>
      <c r="L19" s="10">
        <f t="shared" si="2"/>
        <v>663.06</v>
      </c>
      <c r="M19" s="10">
        <f t="shared" si="3"/>
        <v>2729.04</v>
      </c>
      <c r="N19" s="10">
        <f t="shared" si="4"/>
        <v>1269.58</v>
      </c>
      <c r="O19" s="10">
        <f t="shared" si="5"/>
        <v>2206.1799999999998</v>
      </c>
      <c r="P19" s="10">
        <f t="shared" si="6"/>
        <v>0.06</v>
      </c>
    </row>
    <row r="20" spans="1:16" x14ac:dyDescent="0.35">
      <c r="A20" s="15" t="s">
        <v>181</v>
      </c>
      <c r="B20" s="13">
        <v>1</v>
      </c>
      <c r="C20" s="14">
        <v>545.32550000000003</v>
      </c>
      <c r="D20" s="13">
        <v>172.07060000000001</v>
      </c>
      <c r="E20" s="14">
        <v>545.32550000000003</v>
      </c>
      <c r="F20" s="14">
        <v>232.0719</v>
      </c>
      <c r="G20" s="14">
        <v>213.41821341649654</v>
      </c>
      <c r="H20" s="14">
        <v>1.94</v>
      </c>
      <c r="I20">
        <v>0.01</v>
      </c>
      <c r="J20" s="13">
        <v>0.03</v>
      </c>
      <c r="K20" s="10">
        <f t="shared" si="1"/>
        <v>545.33000000000004</v>
      </c>
      <c r="L20" s="10">
        <f t="shared" si="2"/>
        <v>172.07</v>
      </c>
      <c r="M20" s="10">
        <f t="shared" si="3"/>
        <v>545.33000000000004</v>
      </c>
      <c r="N20" s="10">
        <f t="shared" si="4"/>
        <v>404.14</v>
      </c>
      <c r="O20" s="10">
        <f t="shared" si="5"/>
        <v>213.42</v>
      </c>
      <c r="P20" s="10">
        <f t="shared" si="6"/>
        <v>0.03</v>
      </c>
    </row>
    <row r="21" spans="1:16" x14ac:dyDescent="0.35">
      <c r="A21" s="18" t="s">
        <v>9</v>
      </c>
      <c r="B21" s="16">
        <v>508</v>
      </c>
      <c r="C21" s="17">
        <v>221406.5767493418</v>
      </c>
      <c r="D21" s="16">
        <v>25737.4522</v>
      </c>
      <c r="E21" s="17">
        <v>221406.5767493418</v>
      </c>
      <c r="F21" s="17">
        <v>29545.824409341803</v>
      </c>
      <c r="G21" s="17">
        <v>227370.93038249449</v>
      </c>
      <c r="H21" s="17">
        <v>2606.3699999999994</v>
      </c>
      <c r="I21">
        <f>SUM(I12:I20)</f>
        <v>2.61</v>
      </c>
      <c r="J21">
        <f t="shared" ref="J21:O21" si="7">SUM(J12:J20)</f>
        <v>7.9999999999999991</v>
      </c>
      <c r="K21">
        <f t="shared" si="7"/>
        <v>221406.58</v>
      </c>
      <c r="L21">
        <f t="shared" si="7"/>
        <v>25737.439999999999</v>
      </c>
      <c r="M21">
        <f t="shared" si="7"/>
        <v>221406.58</v>
      </c>
      <c r="N21">
        <f t="shared" si="7"/>
        <v>55283.280000000006</v>
      </c>
      <c r="O21">
        <f t="shared" si="7"/>
        <v>227370.93999999997</v>
      </c>
      <c r="P21" s="10"/>
    </row>
    <row r="22" spans="1:16" x14ac:dyDescent="0.35">
      <c r="A22"/>
      <c r="B22"/>
      <c r="C22"/>
      <c r="D22"/>
      <c r="E22"/>
      <c r="F22"/>
      <c r="G22"/>
      <c r="H22"/>
      <c r="I22"/>
      <c r="K22" s="10"/>
      <c r="L22" s="10"/>
      <c r="M22" s="10"/>
    </row>
    <row r="23" spans="1:16" x14ac:dyDescent="0.35">
      <c r="A23"/>
      <c r="B23"/>
      <c r="C23"/>
      <c r="D23"/>
      <c r="E23"/>
      <c r="F23"/>
      <c r="G23"/>
      <c r="H23"/>
      <c r="I23"/>
      <c r="K23" s="10"/>
      <c r="L23" s="10"/>
      <c r="M23" s="10"/>
    </row>
    <row r="24" spans="1:16" x14ac:dyDescent="0.35">
      <c r="A24"/>
      <c r="B24"/>
      <c r="C24"/>
      <c r="D24"/>
      <c r="E24"/>
      <c r="F24"/>
      <c r="G24"/>
      <c r="H24"/>
      <c r="K24" s="10"/>
      <c r="L24" s="10"/>
      <c r="M24" s="10"/>
    </row>
    <row r="25" spans="1:16" x14ac:dyDescent="0.35">
      <c r="A25"/>
      <c r="B25"/>
      <c r="C25"/>
      <c r="D25"/>
      <c r="E25"/>
      <c r="F25"/>
      <c r="G25"/>
      <c r="H25"/>
      <c r="I25" s="2"/>
    </row>
    <row r="26" spans="1:16" x14ac:dyDescent="0.35">
      <c r="A26"/>
      <c r="B26"/>
      <c r="C26"/>
      <c r="D26"/>
      <c r="E26"/>
      <c r="F26" s="2"/>
      <c r="G26" s="2"/>
      <c r="H26" s="2"/>
      <c r="I26" s="2"/>
    </row>
    <row r="27" spans="1:16" x14ac:dyDescent="0.35">
      <c r="A27"/>
      <c r="B27"/>
      <c r="C27"/>
      <c r="D27"/>
      <c r="E27"/>
      <c r="F27" s="2"/>
      <c r="G27" s="2"/>
      <c r="H27" s="2"/>
      <c r="I27" s="2"/>
      <c r="J27" s="2"/>
    </row>
    <row r="28" spans="1:16" x14ac:dyDescent="0.35">
      <c r="A28"/>
      <c r="B28"/>
      <c r="C28"/>
      <c r="D28"/>
      <c r="E28"/>
      <c r="F28" s="2"/>
      <c r="G28" s="2"/>
      <c r="H28" s="2"/>
      <c r="I28" s="2"/>
      <c r="J28" s="2"/>
    </row>
    <row r="29" spans="1:16" x14ac:dyDescent="0.35">
      <c r="A29"/>
      <c r="B29"/>
      <c r="C29"/>
      <c r="D29"/>
      <c r="E29"/>
      <c r="F29" s="2"/>
      <c r="G29" s="2"/>
      <c r="H29" s="2"/>
      <c r="I29" s="2"/>
      <c r="J29" s="2"/>
    </row>
    <row r="30" spans="1:16" x14ac:dyDescent="0.35">
      <c r="A30"/>
      <c r="B30"/>
      <c r="C30"/>
      <c r="D30"/>
      <c r="E30"/>
      <c r="F30" s="2"/>
      <c r="G30" s="2"/>
      <c r="H30" s="2"/>
      <c r="I30" s="2"/>
      <c r="J30" s="5"/>
    </row>
    <row r="31" spans="1:16" x14ac:dyDescent="0.35">
      <c r="A31"/>
      <c r="B31"/>
      <c r="C31"/>
      <c r="D31"/>
      <c r="E31"/>
      <c r="F31" s="2"/>
      <c r="G31" s="2"/>
      <c r="H31" s="2"/>
      <c r="I31" s="2"/>
    </row>
    <row r="32" spans="1:16" x14ac:dyDescent="0.35">
      <c r="A32"/>
      <c r="B32"/>
      <c r="C32"/>
      <c r="D32"/>
      <c r="E32"/>
      <c r="F32" s="2"/>
      <c r="G32" s="2"/>
      <c r="H32" s="2"/>
      <c r="I32" s="2"/>
    </row>
    <row r="33" spans="1:9" x14ac:dyDescent="0.35">
      <c r="A33"/>
      <c r="B33"/>
      <c r="C33"/>
      <c r="D33"/>
      <c r="E33"/>
      <c r="F33" s="2"/>
      <c r="G33" s="2"/>
      <c r="H33" s="2"/>
      <c r="I33" s="2"/>
    </row>
    <row r="34" spans="1:9" x14ac:dyDescent="0.35">
      <c r="A34"/>
      <c r="B34"/>
      <c r="C34"/>
      <c r="D34"/>
      <c r="E34"/>
      <c r="F34" s="2"/>
      <c r="G34" s="2"/>
      <c r="H34" s="2"/>
      <c r="I34" s="2"/>
    </row>
    <row r="35" spans="1:9" x14ac:dyDescent="0.35">
      <c r="A35"/>
      <c r="B35"/>
      <c r="C35"/>
      <c r="D35"/>
      <c r="E35"/>
    </row>
    <row r="36" spans="1:9" x14ac:dyDescent="0.35">
      <c r="A36"/>
      <c r="B36"/>
      <c r="C36"/>
      <c r="D36"/>
      <c r="E36"/>
    </row>
    <row r="37" spans="1:9" x14ac:dyDescent="0.35">
      <c r="A37"/>
      <c r="B37"/>
      <c r="C37"/>
      <c r="D37"/>
      <c r="E37"/>
    </row>
    <row r="38" spans="1:9" x14ac:dyDescent="0.35">
      <c r="A38"/>
      <c r="B38"/>
      <c r="C38"/>
      <c r="D38"/>
      <c r="E38"/>
    </row>
    <row r="39" spans="1:9" x14ac:dyDescent="0.35">
      <c r="A39"/>
      <c r="B39"/>
      <c r="C39"/>
      <c r="D39"/>
      <c r="E39"/>
    </row>
    <row r="40" spans="1:9" x14ac:dyDescent="0.35">
      <c r="A40"/>
      <c r="B40"/>
      <c r="C40"/>
      <c r="D40"/>
      <c r="E40"/>
    </row>
    <row r="41" spans="1:9" x14ac:dyDescent="0.35">
      <c r="A41"/>
      <c r="B41"/>
      <c r="C41"/>
      <c r="D41"/>
      <c r="E41"/>
    </row>
    <row r="42" spans="1:9" x14ac:dyDescent="0.35">
      <c r="A42"/>
      <c r="B42"/>
      <c r="C42"/>
      <c r="D42"/>
      <c r="E42"/>
    </row>
    <row r="43" spans="1:9" x14ac:dyDescent="0.35">
      <c r="A43"/>
      <c r="B43"/>
      <c r="C43"/>
      <c r="D43"/>
      <c r="E43"/>
    </row>
    <row r="44" spans="1:9" x14ac:dyDescent="0.35">
      <c r="A44"/>
      <c r="B44"/>
      <c r="C44"/>
      <c r="D44"/>
      <c r="E44"/>
    </row>
    <row r="45" spans="1:9" x14ac:dyDescent="0.35">
      <c r="A45"/>
      <c r="B45"/>
      <c r="C45"/>
      <c r="D45"/>
      <c r="E45"/>
    </row>
    <row r="46" spans="1:9" x14ac:dyDescent="0.35">
      <c r="A46"/>
      <c r="B46"/>
      <c r="C46"/>
      <c r="D46"/>
      <c r="E46"/>
    </row>
    <row r="47" spans="1:9" x14ac:dyDescent="0.35">
      <c r="A47"/>
      <c r="B47"/>
      <c r="C47"/>
      <c r="D47"/>
      <c r="E47"/>
    </row>
    <row r="48" spans="1:9" x14ac:dyDescent="0.35">
      <c r="A48"/>
      <c r="B48"/>
      <c r="C48"/>
      <c r="D48"/>
      <c r="E48"/>
    </row>
    <row r="49" spans="1:5" x14ac:dyDescent="0.35">
      <c r="A49"/>
      <c r="B49"/>
      <c r="C49"/>
      <c r="D49"/>
      <c r="E49"/>
    </row>
    <row r="50" spans="1:5" x14ac:dyDescent="0.35">
      <c r="A50"/>
      <c r="B50"/>
      <c r="C50"/>
      <c r="D50"/>
      <c r="E50"/>
    </row>
    <row r="51" spans="1:5" x14ac:dyDescent="0.35">
      <c r="A51"/>
      <c r="B51"/>
      <c r="C51"/>
      <c r="D51"/>
      <c r="E51"/>
    </row>
    <row r="52" spans="1:5" x14ac:dyDescent="0.35">
      <c r="A52"/>
      <c r="B52"/>
      <c r="C52"/>
      <c r="D52"/>
      <c r="E52"/>
    </row>
    <row r="53" spans="1:5" x14ac:dyDescent="0.35">
      <c r="A53"/>
      <c r="B53"/>
      <c r="C53"/>
      <c r="D53"/>
      <c r="E53"/>
    </row>
    <row r="54" spans="1:5" x14ac:dyDescent="0.35">
      <c r="A54"/>
      <c r="B54"/>
      <c r="C54"/>
      <c r="D54"/>
      <c r="E54"/>
    </row>
    <row r="55" spans="1:5" x14ac:dyDescent="0.35">
      <c r="A55"/>
      <c r="B55"/>
      <c r="C55"/>
      <c r="D55"/>
      <c r="E55"/>
    </row>
    <row r="56" spans="1:5" x14ac:dyDescent="0.35">
      <c r="A56"/>
      <c r="B56"/>
      <c r="C56"/>
      <c r="D56"/>
      <c r="E56"/>
    </row>
    <row r="57" spans="1:5" x14ac:dyDescent="0.35">
      <c r="A57"/>
      <c r="B57"/>
      <c r="C57"/>
      <c r="D57"/>
      <c r="E57"/>
    </row>
    <row r="58" spans="1:5" x14ac:dyDescent="0.35">
      <c r="A58"/>
      <c r="B58"/>
      <c r="C58"/>
      <c r="D58"/>
      <c r="E58"/>
    </row>
    <row r="59" spans="1:5" x14ac:dyDescent="0.35">
      <c r="A59"/>
      <c r="B59"/>
      <c r="C59"/>
      <c r="D59"/>
      <c r="E59"/>
    </row>
    <row r="60" spans="1:5" x14ac:dyDescent="0.35">
      <c r="A60"/>
      <c r="B60"/>
      <c r="C60"/>
      <c r="D60"/>
      <c r="E60"/>
    </row>
    <row r="61" spans="1:5" x14ac:dyDescent="0.35">
      <c r="A61"/>
      <c r="B61"/>
      <c r="C61"/>
      <c r="D61"/>
      <c r="E61"/>
    </row>
    <row r="62" spans="1:5" x14ac:dyDescent="0.35">
      <c r="A62"/>
      <c r="B62"/>
      <c r="C62"/>
      <c r="D62"/>
      <c r="E62"/>
    </row>
    <row r="63" spans="1:5" x14ac:dyDescent="0.35">
      <c r="A63"/>
      <c r="B63"/>
      <c r="C63"/>
      <c r="D63"/>
      <c r="E63"/>
    </row>
    <row r="64" spans="1:5" x14ac:dyDescent="0.35">
      <c r="A64"/>
      <c r="B64"/>
      <c r="C64"/>
      <c r="D64"/>
      <c r="E64"/>
    </row>
    <row r="65" spans="1:5" x14ac:dyDescent="0.35">
      <c r="A65"/>
      <c r="B65"/>
      <c r="C65"/>
      <c r="D65"/>
      <c r="E65"/>
    </row>
    <row r="66" spans="1:5" x14ac:dyDescent="0.35">
      <c r="A66"/>
      <c r="B66"/>
      <c r="C66"/>
      <c r="D66"/>
      <c r="E66"/>
    </row>
    <row r="67" spans="1:5" x14ac:dyDescent="0.35">
      <c r="A67"/>
      <c r="B67"/>
      <c r="C67"/>
      <c r="D67"/>
      <c r="E67"/>
    </row>
    <row r="68" spans="1:5" x14ac:dyDescent="0.35">
      <c r="A68"/>
      <c r="B68"/>
      <c r="C68"/>
      <c r="D68"/>
      <c r="E68"/>
    </row>
    <row r="69" spans="1:5" x14ac:dyDescent="0.35">
      <c r="A69"/>
      <c r="B69"/>
      <c r="C69"/>
      <c r="D69"/>
      <c r="E69"/>
    </row>
    <row r="70" spans="1:5" x14ac:dyDescent="0.35">
      <c r="A70"/>
      <c r="B70"/>
      <c r="C70"/>
      <c r="D70"/>
      <c r="E70"/>
    </row>
    <row r="71" spans="1:5" x14ac:dyDescent="0.35">
      <c r="A71"/>
      <c r="B71"/>
      <c r="C71"/>
      <c r="D71"/>
      <c r="E71"/>
    </row>
    <row r="72" spans="1:5" x14ac:dyDescent="0.35">
      <c r="A72"/>
      <c r="B72"/>
      <c r="C72"/>
      <c r="D72"/>
      <c r="E72"/>
    </row>
    <row r="73" spans="1:5" x14ac:dyDescent="0.35">
      <c r="A73"/>
      <c r="B73"/>
      <c r="C73"/>
      <c r="D73"/>
      <c r="E73"/>
    </row>
    <row r="74" spans="1:5" x14ac:dyDescent="0.35">
      <c r="A74"/>
      <c r="B74"/>
      <c r="C74"/>
      <c r="D74"/>
      <c r="E74"/>
    </row>
    <row r="75" spans="1:5" x14ac:dyDescent="0.35">
      <c r="A75"/>
      <c r="B75"/>
      <c r="C75"/>
      <c r="D75"/>
      <c r="E75"/>
    </row>
    <row r="76" spans="1:5" x14ac:dyDescent="0.35">
      <c r="A76"/>
      <c r="B76"/>
      <c r="C76"/>
      <c r="D76"/>
      <c r="E76"/>
    </row>
    <row r="77" spans="1:5" x14ac:dyDescent="0.35">
      <c r="A77"/>
      <c r="B77"/>
      <c r="C77"/>
      <c r="D77"/>
      <c r="E77"/>
    </row>
    <row r="78" spans="1:5" x14ac:dyDescent="0.35">
      <c r="A78"/>
      <c r="B78"/>
      <c r="C78"/>
      <c r="D78"/>
      <c r="E78"/>
    </row>
    <row r="79" spans="1:5" x14ac:dyDescent="0.35">
      <c r="A79"/>
      <c r="B79"/>
      <c r="C79"/>
      <c r="D79"/>
      <c r="E79"/>
    </row>
    <row r="80" spans="1:5" x14ac:dyDescent="0.35">
      <c r="A80"/>
      <c r="B80"/>
      <c r="C80"/>
      <c r="D80"/>
      <c r="E80"/>
    </row>
    <row r="81" spans="1:5" x14ac:dyDescent="0.35">
      <c r="A81"/>
      <c r="B81"/>
      <c r="C81"/>
      <c r="D81"/>
      <c r="E81"/>
    </row>
    <row r="82" spans="1:5" x14ac:dyDescent="0.35">
      <c r="A82"/>
      <c r="B82"/>
      <c r="C82"/>
      <c r="D82"/>
      <c r="E82"/>
    </row>
    <row r="83" spans="1:5" x14ac:dyDescent="0.35">
      <c r="A83"/>
      <c r="B83"/>
      <c r="C83"/>
      <c r="D83"/>
      <c r="E83"/>
    </row>
    <row r="84" spans="1:5" x14ac:dyDescent="0.35">
      <c r="A84"/>
      <c r="B84"/>
      <c r="C84"/>
      <c r="D84"/>
      <c r="E84"/>
    </row>
    <row r="85" spans="1:5" x14ac:dyDescent="0.35">
      <c r="A85"/>
      <c r="B85"/>
      <c r="C85"/>
      <c r="D85"/>
      <c r="E85"/>
    </row>
    <row r="86" spans="1:5" x14ac:dyDescent="0.35">
      <c r="A86"/>
      <c r="B86"/>
      <c r="C86"/>
      <c r="D86"/>
      <c r="E86"/>
    </row>
    <row r="87" spans="1:5" x14ac:dyDescent="0.35">
      <c r="A87"/>
      <c r="B87"/>
      <c r="C87"/>
      <c r="D87"/>
      <c r="E87"/>
    </row>
    <row r="88" spans="1:5" x14ac:dyDescent="0.35">
      <c r="A88"/>
      <c r="B88"/>
      <c r="C88"/>
      <c r="D88"/>
      <c r="E88"/>
    </row>
    <row r="89" spans="1:5" x14ac:dyDescent="0.35">
      <c r="A89"/>
      <c r="B89"/>
      <c r="C89"/>
      <c r="D89"/>
      <c r="E89"/>
    </row>
    <row r="90" spans="1:5" x14ac:dyDescent="0.35">
      <c r="A90"/>
      <c r="B90"/>
      <c r="C90"/>
      <c r="D90"/>
      <c r="E90"/>
    </row>
    <row r="91" spans="1:5" x14ac:dyDescent="0.35">
      <c r="A91"/>
      <c r="B91"/>
      <c r="C91"/>
      <c r="D91"/>
      <c r="E91"/>
    </row>
    <row r="92" spans="1:5" x14ac:dyDescent="0.35">
      <c r="A92"/>
      <c r="B92"/>
      <c r="C92"/>
      <c r="D92"/>
      <c r="E92"/>
    </row>
    <row r="93" spans="1:5" x14ac:dyDescent="0.35">
      <c r="A93"/>
      <c r="B93"/>
      <c r="C93"/>
      <c r="D93"/>
      <c r="E93"/>
    </row>
    <row r="94" spans="1:5" x14ac:dyDescent="0.35">
      <c r="A94"/>
      <c r="B94"/>
      <c r="C94"/>
      <c r="D94"/>
      <c r="E94"/>
    </row>
    <row r="95" spans="1:5" x14ac:dyDescent="0.35">
      <c r="A95"/>
      <c r="B95"/>
      <c r="C95"/>
      <c r="D95"/>
      <c r="E95"/>
    </row>
    <row r="96" spans="1:5" x14ac:dyDescent="0.35">
      <c r="A96"/>
      <c r="B96"/>
      <c r="C96"/>
      <c r="D96"/>
      <c r="E96"/>
    </row>
    <row r="97" spans="1:5" x14ac:dyDescent="0.35">
      <c r="A97"/>
      <c r="B97"/>
      <c r="C97"/>
      <c r="D97"/>
      <c r="E97"/>
    </row>
    <row r="98" spans="1:5" x14ac:dyDescent="0.35">
      <c r="A98"/>
      <c r="B98"/>
      <c r="C98"/>
      <c r="D98"/>
      <c r="E98"/>
    </row>
    <row r="99" spans="1:5" x14ac:dyDescent="0.35">
      <c r="A99"/>
      <c r="B99"/>
      <c r="C99"/>
      <c r="D99"/>
      <c r="E99"/>
    </row>
    <row r="100" spans="1:5" x14ac:dyDescent="0.35">
      <c r="A100"/>
      <c r="B100"/>
      <c r="C100"/>
      <c r="D100"/>
      <c r="E100"/>
    </row>
    <row r="101" spans="1:5" x14ac:dyDescent="0.35">
      <c r="A101"/>
      <c r="B101"/>
      <c r="C101"/>
      <c r="D101"/>
      <c r="E101"/>
    </row>
    <row r="102" spans="1:5" x14ac:dyDescent="0.35">
      <c r="A102"/>
      <c r="B102"/>
      <c r="C102"/>
      <c r="D102"/>
      <c r="E102"/>
    </row>
    <row r="103" spans="1:5" x14ac:dyDescent="0.35">
      <c r="A103"/>
      <c r="B103"/>
      <c r="C103"/>
      <c r="D103"/>
      <c r="E103"/>
    </row>
    <row r="104" spans="1:5" x14ac:dyDescent="0.35">
      <c r="A104"/>
    </row>
    <row r="105" spans="1:5" x14ac:dyDescent="0.35">
      <c r="A105"/>
    </row>
    <row r="106" spans="1:5" x14ac:dyDescent="0.35">
      <c r="A106"/>
    </row>
    <row r="107" spans="1:5" x14ac:dyDescent="0.35">
      <c r="A107"/>
    </row>
    <row r="108" spans="1:5" x14ac:dyDescent="0.35">
      <c r="A108"/>
    </row>
    <row r="109" spans="1:5" x14ac:dyDescent="0.35">
      <c r="A109"/>
    </row>
    <row r="110" spans="1:5" x14ac:dyDescent="0.35">
      <c r="A110"/>
    </row>
    <row r="111" spans="1:5" x14ac:dyDescent="0.35">
      <c r="A111"/>
    </row>
    <row r="112" spans="1:5" x14ac:dyDescent="0.35">
      <c r="A112"/>
    </row>
    <row r="113" spans="1:1" x14ac:dyDescent="0.35">
      <c r="A113"/>
    </row>
    <row r="114" spans="1:1" x14ac:dyDescent="0.35">
      <c r="A114"/>
    </row>
    <row r="115" spans="1:1" x14ac:dyDescent="0.35">
      <c r="A115"/>
    </row>
    <row r="116" spans="1:1" x14ac:dyDescent="0.35">
      <c r="A116"/>
    </row>
    <row r="117" spans="1:1" x14ac:dyDescent="0.35">
      <c r="A117"/>
    </row>
    <row r="118" spans="1:1" x14ac:dyDescent="0.35">
      <c r="A118"/>
    </row>
    <row r="119" spans="1:1" x14ac:dyDescent="0.35">
      <c r="A119"/>
    </row>
    <row r="120" spans="1:1" x14ac:dyDescent="0.35">
      <c r="A120"/>
    </row>
    <row r="121" spans="1:1" x14ac:dyDescent="0.35">
      <c r="A121"/>
    </row>
    <row r="122" spans="1:1" x14ac:dyDescent="0.35">
      <c r="A122"/>
    </row>
    <row r="123" spans="1:1" x14ac:dyDescent="0.35">
      <c r="A123"/>
    </row>
    <row r="124" spans="1:1" x14ac:dyDescent="0.35">
      <c r="A124"/>
    </row>
    <row r="125" spans="1:1" x14ac:dyDescent="0.35">
      <c r="A125"/>
    </row>
    <row r="126" spans="1:1" x14ac:dyDescent="0.35">
      <c r="A126"/>
    </row>
    <row r="127" spans="1:1" x14ac:dyDescent="0.35">
      <c r="A127"/>
    </row>
    <row r="128" spans="1:1" x14ac:dyDescent="0.35">
      <c r="A128"/>
    </row>
    <row r="129" spans="1:1" x14ac:dyDescent="0.35">
      <c r="A129"/>
    </row>
    <row r="130" spans="1:1" x14ac:dyDescent="0.35">
      <c r="A130"/>
    </row>
    <row r="131" spans="1:1" x14ac:dyDescent="0.35">
      <c r="A131"/>
    </row>
    <row r="132" spans="1:1" x14ac:dyDescent="0.35">
      <c r="A132"/>
    </row>
    <row r="133" spans="1:1" x14ac:dyDescent="0.35">
      <c r="A133"/>
    </row>
    <row r="134" spans="1:1" x14ac:dyDescent="0.35">
      <c r="A134"/>
    </row>
    <row r="135" spans="1:1" x14ac:dyDescent="0.35">
      <c r="A135"/>
    </row>
  </sheetData>
  <pageMargins left="0.7" right="0.7" top="0.75" bottom="0.75" header="0.3" footer="0.3"/>
  <pageSetup orientation="portrait" horizontalDpi="0" verticalDpi="0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E665D1-7EB5-41DE-9C7E-B003315A17D8}">
  <dimension ref="C4:M20"/>
  <sheetViews>
    <sheetView topLeftCell="A4" workbookViewId="0">
      <selection activeCell="H13" sqref="H13"/>
    </sheetView>
  </sheetViews>
  <sheetFormatPr defaultRowHeight="14.5" x14ac:dyDescent="0.35"/>
  <cols>
    <col min="3" max="3" width="12.6328125" bestFit="1" customWidth="1"/>
    <col min="4" max="4" width="10.7265625" bestFit="1" customWidth="1"/>
    <col min="5" max="5" width="22.6328125" bestFit="1" customWidth="1"/>
    <col min="6" max="6" width="15.36328125" bestFit="1" customWidth="1"/>
    <col min="7" max="7" width="14.7265625" bestFit="1" customWidth="1"/>
    <col min="8" max="8" width="8.7265625" style="4"/>
    <col min="9" max="10" width="10.6328125" style="4" bestFit="1" customWidth="1"/>
    <col min="11" max="11" width="22.36328125" style="4" bestFit="1" customWidth="1"/>
    <col min="12" max="12" width="15.36328125" bestFit="1" customWidth="1"/>
  </cols>
  <sheetData>
    <row r="4" spans="3:13" x14ac:dyDescent="0.35">
      <c r="C4" s="8" t="s">
        <v>188</v>
      </c>
      <c r="D4" t="s">
        <v>185</v>
      </c>
      <c r="E4" t="s">
        <v>25</v>
      </c>
      <c r="F4" t="s">
        <v>170</v>
      </c>
      <c r="G4" t="s">
        <v>184</v>
      </c>
      <c r="I4" s="4" t="s">
        <v>188</v>
      </c>
      <c r="J4" s="4" t="s">
        <v>185</v>
      </c>
      <c r="K4" s="4" t="s">
        <v>25</v>
      </c>
      <c r="L4" t="s">
        <v>170</v>
      </c>
      <c r="M4" t="s">
        <v>184</v>
      </c>
    </row>
    <row r="5" spans="3:13" x14ac:dyDescent="0.35">
      <c r="C5" s="28" t="s">
        <v>20</v>
      </c>
      <c r="D5" s="19">
        <v>231</v>
      </c>
      <c r="E5" s="29">
        <v>148988.27105576589</v>
      </c>
      <c r="F5" s="10">
        <v>28160.930409341803</v>
      </c>
      <c r="G5" s="19">
        <v>1759.7399999999993</v>
      </c>
      <c r="I5" s="4" t="s">
        <v>20</v>
      </c>
      <c r="J5" s="4">
        <v>231</v>
      </c>
      <c r="K5" s="5">
        <f>ROUND(E5,2)</f>
        <v>148988.26999999999</v>
      </c>
      <c r="L5" s="5">
        <f>ROUND(F5,2)</f>
        <v>28160.93</v>
      </c>
      <c r="M5" s="5">
        <f>ROUND(G5/1000,2)</f>
        <v>1.76</v>
      </c>
    </row>
    <row r="6" spans="3:13" x14ac:dyDescent="0.35">
      <c r="C6" s="28" t="s">
        <v>21</v>
      </c>
      <c r="D6" s="19">
        <v>94</v>
      </c>
      <c r="E6" s="29">
        <v>32421.07711842248</v>
      </c>
      <c r="F6" s="10">
        <v>10560.587550000002</v>
      </c>
      <c r="G6" s="19">
        <v>380.79999999999995</v>
      </c>
      <c r="I6" s="4" t="s">
        <v>21</v>
      </c>
      <c r="J6" s="4">
        <v>94</v>
      </c>
      <c r="K6" s="5">
        <f>ROUND(E6,2)</f>
        <v>32421.08</v>
      </c>
      <c r="L6" s="5">
        <f t="shared" ref="L6:L13" si="0">ROUND(F6,2)</f>
        <v>10560.59</v>
      </c>
      <c r="M6" s="5">
        <f t="shared" ref="M6:M13" si="1">ROUND(G6/1000,2)</f>
        <v>0.38</v>
      </c>
    </row>
    <row r="7" spans="3:13" x14ac:dyDescent="0.35">
      <c r="C7" s="28" t="s">
        <v>22</v>
      </c>
      <c r="D7" s="19">
        <v>15</v>
      </c>
      <c r="E7" s="29">
        <v>6717.8841996147657</v>
      </c>
      <c r="F7" s="10">
        <v>2237.5418</v>
      </c>
      <c r="G7" s="19">
        <v>78.510000000000005</v>
      </c>
      <c r="I7" s="4" t="s">
        <v>22</v>
      </c>
      <c r="J7" s="4">
        <v>15</v>
      </c>
      <c r="K7" s="5">
        <f>ROUND(E7,2)</f>
        <v>6717.88</v>
      </c>
      <c r="L7" s="5">
        <f t="shared" si="0"/>
        <v>2237.54</v>
      </c>
      <c r="M7" s="5">
        <f t="shared" si="1"/>
        <v>0.08</v>
      </c>
    </row>
    <row r="8" spans="3:13" x14ac:dyDescent="0.35">
      <c r="C8" s="28" t="s">
        <v>177</v>
      </c>
      <c r="D8" s="19">
        <v>150</v>
      </c>
      <c r="E8" s="29">
        <v>29545.746030568589</v>
      </c>
      <c r="F8" s="10">
        <v>2240.98</v>
      </c>
      <c r="G8" s="19">
        <v>294.62999999999994</v>
      </c>
      <c r="I8" s="4" t="s">
        <v>177</v>
      </c>
      <c r="J8" s="4">
        <v>150</v>
      </c>
      <c r="K8" s="5">
        <f>ROUND(E8,2)</f>
        <v>29545.75</v>
      </c>
      <c r="L8" s="5">
        <f t="shared" si="0"/>
        <v>2240.98</v>
      </c>
      <c r="M8" s="5">
        <f t="shared" si="1"/>
        <v>0.28999999999999998</v>
      </c>
    </row>
    <row r="9" spans="3:13" x14ac:dyDescent="0.35">
      <c r="C9" s="28" t="s">
        <v>23</v>
      </c>
      <c r="D9" s="19">
        <v>1</v>
      </c>
      <c r="E9" s="29">
        <v>632.82051547390165</v>
      </c>
      <c r="F9" s="10">
        <v>434.86754999999999</v>
      </c>
      <c r="G9" s="19">
        <v>7.58</v>
      </c>
      <c r="I9" s="4" t="s">
        <v>23</v>
      </c>
      <c r="J9" s="4">
        <v>1</v>
      </c>
      <c r="K9" s="5">
        <f>ROUND(E9,2)</f>
        <v>632.82000000000005</v>
      </c>
      <c r="L9" s="5">
        <f t="shared" si="0"/>
        <v>434.87</v>
      </c>
      <c r="M9" s="5">
        <f t="shared" si="1"/>
        <v>0.01</v>
      </c>
    </row>
    <row r="10" spans="3:13" x14ac:dyDescent="0.35">
      <c r="C10" s="28" t="s">
        <v>178</v>
      </c>
      <c r="D10" s="19">
        <v>4</v>
      </c>
      <c r="E10" s="29">
        <v>4942.0458576687515</v>
      </c>
      <c r="F10" s="10">
        <v>1454.2577999999999</v>
      </c>
      <c r="G10" s="19">
        <v>42.7</v>
      </c>
      <c r="I10" s="4" t="s">
        <v>178</v>
      </c>
      <c r="J10" s="4">
        <v>4</v>
      </c>
      <c r="K10" s="5">
        <v>4942.04</v>
      </c>
      <c r="L10" s="5">
        <f t="shared" si="0"/>
        <v>1454.26</v>
      </c>
      <c r="M10" s="5">
        <f t="shared" si="1"/>
        <v>0.04</v>
      </c>
    </row>
    <row r="11" spans="3:13" x14ac:dyDescent="0.35">
      <c r="C11" s="28" t="s">
        <v>179</v>
      </c>
      <c r="D11" s="19">
        <v>7</v>
      </c>
      <c r="E11" s="29">
        <v>1703.4887516678191</v>
      </c>
      <c r="F11" s="10">
        <v>848.02719999999999</v>
      </c>
      <c r="G11" s="19">
        <v>22.57</v>
      </c>
      <c r="I11" s="4" t="s">
        <v>179</v>
      </c>
      <c r="J11" s="4">
        <v>7</v>
      </c>
      <c r="K11" s="5">
        <f>ROUND(E11,2)</f>
        <v>1703.49</v>
      </c>
      <c r="L11" s="5">
        <f t="shared" si="0"/>
        <v>848.03</v>
      </c>
      <c r="M11" s="5">
        <f t="shared" si="1"/>
        <v>0.02</v>
      </c>
    </row>
    <row r="12" spans="3:13" x14ac:dyDescent="0.35">
      <c r="C12" s="28" t="s">
        <v>180</v>
      </c>
      <c r="D12" s="19">
        <v>5</v>
      </c>
      <c r="E12" s="29">
        <v>2206.178639895832</v>
      </c>
      <c r="F12" s="10">
        <v>663.06479999999999</v>
      </c>
      <c r="G12" s="19">
        <v>17.900000000000002</v>
      </c>
      <c r="I12" s="4" t="s">
        <v>180</v>
      </c>
      <c r="J12" s="4">
        <v>5</v>
      </c>
      <c r="K12" s="5">
        <f>ROUND(E12,2)</f>
        <v>2206.1799999999998</v>
      </c>
      <c r="L12" s="5">
        <f t="shared" si="0"/>
        <v>663.06</v>
      </c>
      <c r="M12" s="5">
        <f t="shared" si="1"/>
        <v>0.02</v>
      </c>
    </row>
    <row r="13" spans="3:13" x14ac:dyDescent="0.35">
      <c r="C13" s="28" t="s">
        <v>181</v>
      </c>
      <c r="D13" s="19">
        <v>1</v>
      </c>
      <c r="E13" s="29">
        <v>213.41821341649654</v>
      </c>
      <c r="F13" s="10">
        <v>172.07060000000001</v>
      </c>
      <c r="G13" s="19">
        <v>1.94</v>
      </c>
      <c r="I13" s="4" t="s">
        <v>181</v>
      </c>
      <c r="J13" s="4">
        <v>1</v>
      </c>
      <c r="K13" s="5">
        <f>ROUND(E13,2)</f>
        <v>213.42</v>
      </c>
      <c r="L13" s="5">
        <f t="shared" si="0"/>
        <v>172.07</v>
      </c>
      <c r="M13" s="5">
        <f t="shared" si="1"/>
        <v>0</v>
      </c>
    </row>
    <row r="14" spans="3:13" x14ac:dyDescent="0.35">
      <c r="C14" s="28" t="s">
        <v>9</v>
      </c>
      <c r="D14" s="19">
        <v>508</v>
      </c>
      <c r="E14" s="10">
        <v>227370.93038249449</v>
      </c>
      <c r="F14" s="10">
        <v>46772.327709341807</v>
      </c>
      <c r="G14" s="19">
        <v>2606.3699999999994</v>
      </c>
      <c r="I14" s="4" t="s">
        <v>9</v>
      </c>
      <c r="J14" s="4">
        <f>SUM(J5:J13)</f>
        <v>508</v>
      </c>
      <c r="K14" s="4">
        <f t="shared" ref="K14:L14" si="2">SUM(K5:K13)</f>
        <v>227370.93</v>
      </c>
      <c r="L14" s="4">
        <f t="shared" si="2"/>
        <v>46772.330000000009</v>
      </c>
      <c r="M14" s="10">
        <f>SUM(M5:M13)</f>
        <v>2.6</v>
      </c>
    </row>
    <row r="16" spans="3:13" x14ac:dyDescent="0.35">
      <c r="J16" s="4">
        <f>J5+J6+J8+J9+J10+J11+J13</f>
        <v>488</v>
      </c>
      <c r="K16" s="5">
        <f>K5+K6+K8+K9+K10+K11+K13</f>
        <v>218446.87</v>
      </c>
      <c r="L16" s="5">
        <f>L5+L6+L8+L9+L10+L11+L13</f>
        <v>43871.73000000001</v>
      </c>
      <c r="M16" s="5">
        <f>M5+M6+M8+M9+M10+M11+M13</f>
        <v>2.5</v>
      </c>
    </row>
    <row r="17" spans="10:13" x14ac:dyDescent="0.35">
      <c r="J17" s="4">
        <f>J7+J12</f>
        <v>20</v>
      </c>
      <c r="K17" s="4">
        <f t="shared" ref="K17:L17" si="3">K7+K12</f>
        <v>8924.06</v>
      </c>
      <c r="L17" s="4">
        <f t="shared" si="3"/>
        <v>2900.6</v>
      </c>
      <c r="M17" s="5">
        <f>M7+M12</f>
        <v>0.1</v>
      </c>
    </row>
    <row r="19" spans="10:13" x14ac:dyDescent="0.35">
      <c r="J19" s="4">
        <v>488</v>
      </c>
      <c r="K19" s="4">
        <v>218446.87</v>
      </c>
      <c r="L19">
        <v>43871.73</v>
      </c>
      <c r="M19">
        <v>2.5</v>
      </c>
    </row>
    <row r="20" spans="10:13" x14ac:dyDescent="0.35">
      <c r="J20" s="4">
        <v>20</v>
      </c>
      <c r="K20" s="4">
        <v>8924.06</v>
      </c>
      <c r="L20">
        <v>2900.6</v>
      </c>
      <c r="M20">
        <v>0.1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D3CAE3-14E7-4C08-82A3-92074DF3CA2D}">
  <dimension ref="C4:G141"/>
  <sheetViews>
    <sheetView workbookViewId="0">
      <selection activeCell="C5" sqref="C5"/>
    </sheetView>
  </sheetViews>
  <sheetFormatPr defaultRowHeight="14.5" x14ac:dyDescent="0.35"/>
  <cols>
    <col min="3" max="3" width="22.6328125" bestFit="1" customWidth="1"/>
    <col min="4" max="4" width="18" bestFit="1" customWidth="1"/>
    <col min="5" max="5" width="21.90625" bestFit="1" customWidth="1"/>
    <col min="6" max="6" width="15" bestFit="1" customWidth="1"/>
    <col min="7" max="7" width="19.54296875" bestFit="1" customWidth="1"/>
  </cols>
  <sheetData>
    <row r="4" spans="3:7" ht="26" customHeight="1" x14ac:dyDescent="0.35">
      <c r="C4" s="24" t="s">
        <v>0</v>
      </c>
      <c r="D4" s="24" t="s">
        <v>171</v>
      </c>
      <c r="E4" s="24" t="s">
        <v>172</v>
      </c>
      <c r="F4" s="24" t="s">
        <v>173</v>
      </c>
      <c r="G4" s="24" t="s">
        <v>174</v>
      </c>
    </row>
    <row r="5" spans="3:7" x14ac:dyDescent="0.35">
      <c r="C5" s="21" t="s">
        <v>26</v>
      </c>
      <c r="D5" s="22">
        <v>4.1277599999999994</v>
      </c>
      <c r="E5" s="23">
        <v>455.1028089494751</v>
      </c>
      <c r="F5" s="23">
        <v>52.485238530722</v>
      </c>
      <c r="G5" s="23">
        <v>63.155200000000008</v>
      </c>
    </row>
    <row r="6" spans="3:7" x14ac:dyDescent="0.35">
      <c r="C6" s="21" t="s">
        <v>28</v>
      </c>
      <c r="D6" s="22">
        <v>15.3992475</v>
      </c>
      <c r="E6" s="23">
        <v>1958.1331305118395</v>
      </c>
      <c r="F6" s="23">
        <v>908.06268902400006</v>
      </c>
      <c r="G6" s="23">
        <v>355.44099999999997</v>
      </c>
    </row>
    <row r="7" spans="3:7" x14ac:dyDescent="0.35">
      <c r="C7" s="21" t="s">
        <v>27</v>
      </c>
      <c r="D7" s="22">
        <v>11.842739999999999</v>
      </c>
      <c r="E7" s="23">
        <v>1651.6307420611829</v>
      </c>
      <c r="F7" s="23">
        <v>31.0449230421005</v>
      </c>
      <c r="G7" s="23">
        <v>208.26</v>
      </c>
    </row>
    <row r="8" spans="3:7" x14ac:dyDescent="0.35">
      <c r="C8" s="21" t="s">
        <v>29</v>
      </c>
      <c r="D8" s="22">
        <v>15.0306975</v>
      </c>
      <c r="E8" s="23">
        <v>2138.3787000807788</v>
      </c>
      <c r="F8" s="23">
        <v>800.95679999999982</v>
      </c>
      <c r="G8" s="23">
        <v>268.37770000000006</v>
      </c>
    </row>
    <row r="9" spans="3:7" x14ac:dyDescent="0.35">
      <c r="C9" s="21" t="s">
        <v>30</v>
      </c>
      <c r="D9" s="22">
        <v>4.2751799999999998</v>
      </c>
      <c r="E9" s="23">
        <v>548.206633103027</v>
      </c>
      <c r="F9" s="23">
        <v>107.30151142355</v>
      </c>
      <c r="G9" s="23">
        <v>86.97359999999999</v>
      </c>
    </row>
    <row r="10" spans="3:7" x14ac:dyDescent="0.35">
      <c r="C10" s="21" t="s">
        <v>32</v>
      </c>
      <c r="D10" s="22">
        <v>13.151092500000001</v>
      </c>
      <c r="E10" s="23">
        <v>1686.3655193585932</v>
      </c>
      <c r="F10" s="23">
        <v>128.62079999999997</v>
      </c>
      <c r="G10" s="23">
        <v>275.73000000000008</v>
      </c>
    </row>
    <row r="11" spans="3:7" x14ac:dyDescent="0.35">
      <c r="C11" s="21" t="s">
        <v>31</v>
      </c>
      <c r="D11" s="22">
        <v>2.7211274999999997</v>
      </c>
      <c r="E11" s="23">
        <v>348.93037135724273</v>
      </c>
      <c r="F11" s="23">
        <v>55.865599999999993</v>
      </c>
      <c r="G11" s="23">
        <v>43.844999999999992</v>
      </c>
    </row>
    <row r="12" spans="3:7" x14ac:dyDescent="0.35">
      <c r="C12" s="21" t="s">
        <v>34</v>
      </c>
      <c r="D12" s="22">
        <v>6.8366024999999979</v>
      </c>
      <c r="E12" s="23">
        <v>897.75502880913723</v>
      </c>
      <c r="F12" s="23">
        <v>11.2890629244002</v>
      </c>
      <c r="G12" s="23">
        <v>161.20309999999998</v>
      </c>
    </row>
    <row r="13" spans="3:7" x14ac:dyDescent="0.35">
      <c r="C13" s="21" t="s">
        <v>33</v>
      </c>
      <c r="D13" s="22">
        <v>11.2223475</v>
      </c>
      <c r="E13" s="23">
        <v>1473.6733491772632</v>
      </c>
      <c r="F13" s="23">
        <v>396.25599999999991</v>
      </c>
      <c r="G13" s="23">
        <v>164.11499999999998</v>
      </c>
    </row>
    <row r="14" spans="3:7" x14ac:dyDescent="0.35">
      <c r="C14" s="21" t="s">
        <v>35</v>
      </c>
      <c r="D14" s="22">
        <v>5.7248099999999997</v>
      </c>
      <c r="E14" s="23">
        <v>752.1531776063789</v>
      </c>
      <c r="F14" s="23">
        <v>11.289062924400181</v>
      </c>
      <c r="G14" s="23">
        <v>120.20999999999998</v>
      </c>
    </row>
    <row r="15" spans="3:7" x14ac:dyDescent="0.35">
      <c r="C15" s="21" t="s">
        <v>41</v>
      </c>
      <c r="D15" s="22">
        <v>11.824312499999998</v>
      </c>
      <c r="E15" s="23">
        <v>1552.7209617768099</v>
      </c>
      <c r="F15" s="23">
        <v>67.734377546401049</v>
      </c>
      <c r="G15" s="23">
        <v>247.92750000000001</v>
      </c>
    </row>
    <row r="16" spans="3:7" x14ac:dyDescent="0.35">
      <c r="C16" s="21" t="s">
        <v>36</v>
      </c>
      <c r="D16" s="22">
        <v>42.456960000000002</v>
      </c>
      <c r="E16" s="23">
        <v>5793.7318948362717</v>
      </c>
      <c r="F16" s="23">
        <v>1055.5273834314185</v>
      </c>
      <c r="G16" s="23">
        <v>706.84400000000005</v>
      </c>
    </row>
    <row r="17" spans="3:7" x14ac:dyDescent="0.35">
      <c r="C17" s="21" t="s">
        <v>42</v>
      </c>
      <c r="D17" s="22">
        <v>8.0405324999999994</v>
      </c>
      <c r="E17" s="23">
        <v>1086.3842947679523</v>
      </c>
      <c r="F17" s="23">
        <v>84.667971933001397</v>
      </c>
      <c r="G17" s="23">
        <v>110.245</v>
      </c>
    </row>
    <row r="18" spans="3:7" x14ac:dyDescent="0.35">
      <c r="C18" s="21" t="s">
        <v>54</v>
      </c>
      <c r="D18" s="22">
        <v>27.899235000000001</v>
      </c>
      <c r="E18" s="23">
        <v>3769.5626179037731</v>
      </c>
      <c r="F18" s="23">
        <v>0</v>
      </c>
      <c r="G18" s="23">
        <v>624.38</v>
      </c>
    </row>
    <row r="19" spans="3:7" x14ac:dyDescent="0.35">
      <c r="C19" s="21" t="s">
        <v>37</v>
      </c>
      <c r="D19" s="22">
        <v>5.1658424999999983</v>
      </c>
      <c r="E19" s="23">
        <v>717.32124795296329</v>
      </c>
      <c r="F19" s="23">
        <v>84.667971933001397</v>
      </c>
      <c r="G19" s="23">
        <v>93.694999999999979</v>
      </c>
    </row>
    <row r="20" spans="3:7" x14ac:dyDescent="0.35">
      <c r="C20" s="21" t="s">
        <v>38</v>
      </c>
      <c r="D20" s="22">
        <v>2.0700224999999999</v>
      </c>
      <c r="E20" s="23">
        <v>279.6879353222306</v>
      </c>
      <c r="F20" s="23">
        <v>16.2491624180626</v>
      </c>
      <c r="G20" s="23">
        <v>35.226700000000001</v>
      </c>
    </row>
    <row r="21" spans="3:7" x14ac:dyDescent="0.35">
      <c r="C21" s="21" t="s">
        <v>39</v>
      </c>
      <c r="D21" s="22">
        <v>6.2100675000000001</v>
      </c>
      <c r="E21" s="23">
        <v>862.32078677817617</v>
      </c>
      <c r="F21" s="23">
        <v>93.13</v>
      </c>
      <c r="G21" s="23">
        <v>106.72010000000002</v>
      </c>
    </row>
    <row r="22" spans="3:7" x14ac:dyDescent="0.35">
      <c r="C22" s="21" t="s">
        <v>45</v>
      </c>
      <c r="D22" s="22">
        <v>2.3771474999999995</v>
      </c>
      <c r="E22" s="23">
        <v>324.38863473692658</v>
      </c>
      <c r="F22" s="23">
        <v>103.93599999999999</v>
      </c>
      <c r="G22" s="23">
        <v>57.086699999999993</v>
      </c>
    </row>
    <row r="23" spans="3:7" x14ac:dyDescent="0.35">
      <c r="C23" s="21" t="s">
        <v>46</v>
      </c>
      <c r="D23" s="22">
        <v>18.974182500000001</v>
      </c>
      <c r="E23" s="23">
        <v>2514.4801258847879</v>
      </c>
      <c r="F23" s="23">
        <v>2272.3008</v>
      </c>
      <c r="G23" s="23">
        <v>329.55179999999996</v>
      </c>
    </row>
    <row r="24" spans="3:7" x14ac:dyDescent="0.35">
      <c r="C24" s="21" t="s">
        <v>43</v>
      </c>
      <c r="D24" s="22">
        <v>8.0835299999999979</v>
      </c>
      <c r="E24" s="23">
        <v>1071.238538577009</v>
      </c>
      <c r="F24" s="23">
        <v>101.7393479155523</v>
      </c>
      <c r="G24" s="23">
        <v>129.19470000000001</v>
      </c>
    </row>
    <row r="25" spans="3:7" x14ac:dyDescent="0.35">
      <c r="C25" s="21" t="s">
        <v>47</v>
      </c>
      <c r="D25" s="22">
        <v>8.9680499999999981</v>
      </c>
      <c r="E25" s="23">
        <v>1208.9252022167918</v>
      </c>
      <c r="F25" s="23">
        <v>190.13093146220007</v>
      </c>
      <c r="G25" s="23">
        <v>216.20599999999999</v>
      </c>
    </row>
    <row r="26" spans="3:7" x14ac:dyDescent="0.35">
      <c r="C26" s="21" t="s">
        <v>48</v>
      </c>
      <c r="D26" s="22">
        <v>7.7579774999999991</v>
      </c>
      <c r="E26" s="23">
        <v>1045.8031030135671</v>
      </c>
      <c r="F26" s="23">
        <v>519.67999999999995</v>
      </c>
      <c r="G26" s="23">
        <v>167.13329999999999</v>
      </c>
    </row>
    <row r="27" spans="3:7" x14ac:dyDescent="0.35">
      <c r="C27" s="21" t="s">
        <v>49</v>
      </c>
      <c r="D27" s="22">
        <v>15.214972499999998</v>
      </c>
      <c r="E27" s="23">
        <v>2027.0329146389477</v>
      </c>
      <c r="F27" s="23">
        <v>348.18559999999997</v>
      </c>
      <c r="G27" s="23">
        <v>229.90570000000002</v>
      </c>
    </row>
    <row r="28" spans="3:7" x14ac:dyDescent="0.35">
      <c r="C28" s="21" t="s">
        <v>50</v>
      </c>
      <c r="D28" s="22">
        <v>7.8685425000000002</v>
      </c>
      <c r="E28" s="23">
        <v>1060.7076603011715</v>
      </c>
      <c r="F28" s="23">
        <v>195.52959999999999</v>
      </c>
      <c r="G28" s="23">
        <v>163.18519999999998</v>
      </c>
    </row>
    <row r="29" spans="3:7" x14ac:dyDescent="0.35">
      <c r="C29" s="21" t="s">
        <v>44</v>
      </c>
      <c r="D29" s="22">
        <v>3.7837800000000006</v>
      </c>
      <c r="E29" s="23">
        <v>510.06707162023565</v>
      </c>
      <c r="F29" s="23">
        <v>92.243199999999987</v>
      </c>
      <c r="G29" s="23">
        <v>90.800000000000011</v>
      </c>
    </row>
    <row r="30" spans="3:7" x14ac:dyDescent="0.35">
      <c r="C30" s="21" t="s">
        <v>51</v>
      </c>
      <c r="D30" s="22">
        <v>3.1818150000000003</v>
      </c>
      <c r="E30" s="23">
        <v>433.75636356358615</v>
      </c>
      <c r="F30" s="23">
        <v>135.11679999999998</v>
      </c>
      <c r="G30" s="23">
        <v>64.953800000000015</v>
      </c>
    </row>
    <row r="31" spans="3:7" x14ac:dyDescent="0.35">
      <c r="C31" s="21" t="s">
        <v>52</v>
      </c>
      <c r="D31" s="22">
        <v>14.281312499999999</v>
      </c>
      <c r="E31" s="23">
        <v>1889.4144067106595</v>
      </c>
      <c r="F31" s="23">
        <v>92.201110251450686</v>
      </c>
      <c r="G31" s="23">
        <v>303.23250000000002</v>
      </c>
    </row>
    <row r="32" spans="3:7" x14ac:dyDescent="0.35">
      <c r="C32" s="21" t="s">
        <v>40</v>
      </c>
      <c r="D32" s="22">
        <v>22.327987499999999</v>
      </c>
      <c r="E32" s="23">
        <v>2980.164484217612</v>
      </c>
      <c r="F32" s="23">
        <v>4001.9728066998659</v>
      </c>
      <c r="G32" s="23">
        <v>366.70929999999998</v>
      </c>
    </row>
    <row r="33" spans="3:7" x14ac:dyDescent="0.35">
      <c r="C33" s="21" t="s">
        <v>53</v>
      </c>
      <c r="D33" s="22">
        <v>9.0786149999999992</v>
      </c>
      <c r="E33" s="23">
        <v>1237.6291609015061</v>
      </c>
      <c r="F33" s="23">
        <v>1796.1439999999998</v>
      </c>
      <c r="G33" s="23">
        <v>189.00979999999998</v>
      </c>
    </row>
    <row r="34" spans="3:7" x14ac:dyDescent="0.35">
      <c r="C34" s="21" t="s">
        <v>56</v>
      </c>
      <c r="D34" s="22">
        <v>3.4766550000000001</v>
      </c>
      <c r="E34" s="23">
        <v>481.64584784509776</v>
      </c>
      <c r="F34" s="23">
        <v>163.369079038276</v>
      </c>
      <c r="G34" s="23">
        <v>68.340599999999995</v>
      </c>
    </row>
    <row r="35" spans="3:7" x14ac:dyDescent="0.35">
      <c r="C35" s="21" t="s">
        <v>66</v>
      </c>
      <c r="D35" s="22">
        <v>5.4115425000000004</v>
      </c>
      <c r="E35" s="23">
        <v>744.02963520319247</v>
      </c>
      <c r="F35" s="23">
        <v>148.83879999999999</v>
      </c>
      <c r="G35" s="23">
        <v>100.2971</v>
      </c>
    </row>
    <row r="36" spans="3:7" x14ac:dyDescent="0.35">
      <c r="C36" s="21" t="s">
        <v>57</v>
      </c>
      <c r="D36" s="22">
        <v>7.5061349999999987</v>
      </c>
      <c r="E36" s="23">
        <v>1037.872334412365</v>
      </c>
      <c r="F36" s="23">
        <v>2296.98777054428</v>
      </c>
      <c r="G36" s="23">
        <v>136.11000000000001</v>
      </c>
    </row>
    <row r="37" spans="3:7" x14ac:dyDescent="0.35">
      <c r="C37" s="21" t="s">
        <v>67</v>
      </c>
      <c r="D37" s="22">
        <v>2.8624049999999999</v>
      </c>
      <c r="E37" s="23">
        <v>407.7949093294967</v>
      </c>
      <c r="F37" s="23">
        <v>230.02503597122299</v>
      </c>
      <c r="G37" s="23">
        <v>77.650599999999997</v>
      </c>
    </row>
    <row r="38" spans="3:7" x14ac:dyDescent="0.35">
      <c r="C38" s="21" t="s">
        <v>68</v>
      </c>
      <c r="D38" s="22">
        <v>11.228489999999997</v>
      </c>
      <c r="E38" s="23">
        <v>1552.5618881389555</v>
      </c>
      <c r="F38" s="23">
        <v>291.26323049970142</v>
      </c>
      <c r="G38" s="23">
        <v>227.36479999999997</v>
      </c>
    </row>
    <row r="39" spans="3:7" x14ac:dyDescent="0.35">
      <c r="C39" s="21" t="s">
        <v>69</v>
      </c>
      <c r="D39" s="22">
        <v>8.3906549999999989</v>
      </c>
      <c r="E39" s="23">
        <v>1195.3816440860353</v>
      </c>
      <c r="F39" s="23">
        <v>439.75099999999998</v>
      </c>
      <c r="G39" s="23">
        <v>145.49</v>
      </c>
    </row>
    <row r="40" spans="3:7" x14ac:dyDescent="0.35">
      <c r="C40" s="21" t="s">
        <v>70</v>
      </c>
      <c r="D40" s="22">
        <v>6.8120324999999999</v>
      </c>
      <c r="E40" s="23">
        <v>970.48187649444594</v>
      </c>
      <c r="F40" s="23">
        <v>546.04883705274597</v>
      </c>
      <c r="G40" s="23">
        <v>182.685</v>
      </c>
    </row>
    <row r="41" spans="3:7" x14ac:dyDescent="0.35">
      <c r="C41" s="21" t="s">
        <v>71</v>
      </c>
      <c r="D41" s="22">
        <v>3.574935</v>
      </c>
      <c r="E41" s="23">
        <v>509.30608847589502</v>
      </c>
      <c r="F41" s="23">
        <v>128.543402454507</v>
      </c>
      <c r="G41" s="23">
        <v>66.489999999999995</v>
      </c>
    </row>
    <row r="42" spans="3:7" x14ac:dyDescent="0.35">
      <c r="C42" s="21" t="s">
        <v>72</v>
      </c>
      <c r="D42" s="22">
        <v>42.696517499999999</v>
      </c>
      <c r="E42" s="23">
        <v>6082.7948814363335</v>
      </c>
      <c r="F42" s="23">
        <v>2974.957364753845</v>
      </c>
      <c r="G42" s="23">
        <v>1025.8890000000001</v>
      </c>
    </row>
    <row r="43" spans="3:7" x14ac:dyDescent="0.35">
      <c r="C43" s="21" t="s">
        <v>88</v>
      </c>
      <c r="D43" s="22">
        <v>2.9975400000000003</v>
      </c>
      <c r="E43" s="23">
        <v>424.54036578005696</v>
      </c>
      <c r="F43" s="23">
        <v>167.53735866039199</v>
      </c>
      <c r="G43" s="23">
        <v>80.92</v>
      </c>
    </row>
    <row r="44" spans="3:7" x14ac:dyDescent="0.35">
      <c r="C44" s="21" t="s">
        <v>58</v>
      </c>
      <c r="D44" s="22">
        <v>9.4533074999999993</v>
      </c>
      <c r="E44" s="23">
        <v>1393.1352043034547</v>
      </c>
      <c r="F44" s="23">
        <v>964.07551840880296</v>
      </c>
      <c r="G44" s="23">
        <v>195.41499999999999</v>
      </c>
    </row>
    <row r="45" spans="3:7" x14ac:dyDescent="0.35">
      <c r="C45" s="21" t="s">
        <v>73</v>
      </c>
      <c r="D45" s="22">
        <v>3.4275149999999996</v>
      </c>
      <c r="E45" s="23">
        <v>485.43754939604872</v>
      </c>
      <c r="F45" s="23">
        <v>294.29673719847699</v>
      </c>
      <c r="G45" s="23">
        <v>60.010000000000005</v>
      </c>
    </row>
    <row r="46" spans="3:7" x14ac:dyDescent="0.35">
      <c r="C46" s="21" t="s">
        <v>74</v>
      </c>
      <c r="D46" s="22">
        <v>4.3181775</v>
      </c>
      <c r="E46" s="23">
        <v>612.79247392471916</v>
      </c>
      <c r="F46" s="23">
        <v>602.12059999999997</v>
      </c>
      <c r="G46" s="23">
        <v>84.3523</v>
      </c>
    </row>
    <row r="47" spans="3:7" x14ac:dyDescent="0.35">
      <c r="C47" s="21" t="s">
        <v>75</v>
      </c>
      <c r="D47" s="22">
        <v>3.4459425000000001</v>
      </c>
      <c r="E47" s="23">
        <v>507.82901209502154</v>
      </c>
      <c r="F47" s="23">
        <v>43.975374523910297</v>
      </c>
      <c r="G47" s="23">
        <v>247.285</v>
      </c>
    </row>
    <row r="48" spans="3:7" x14ac:dyDescent="0.35">
      <c r="C48" s="21" t="s">
        <v>76</v>
      </c>
      <c r="D48" s="22">
        <v>9.8218575000000001</v>
      </c>
      <c r="E48" s="23">
        <v>1393.819581515826</v>
      </c>
      <c r="F48" s="23">
        <v>720.51509999999996</v>
      </c>
      <c r="G48" s="23">
        <v>172.39089999999999</v>
      </c>
    </row>
    <row r="49" spans="3:7" x14ac:dyDescent="0.35">
      <c r="C49" s="21" t="s">
        <v>77</v>
      </c>
      <c r="D49" s="22">
        <v>11.142494999999998</v>
      </c>
      <c r="E49" s="23">
        <v>1563.2898811524428</v>
      </c>
      <c r="F49" s="23">
        <v>926.86410791366995</v>
      </c>
      <c r="G49" s="23">
        <v>195.67529999999999</v>
      </c>
    </row>
    <row r="50" spans="3:7" x14ac:dyDescent="0.35">
      <c r="C50" s="21" t="s">
        <v>78</v>
      </c>
      <c r="D50" s="22">
        <v>3.0528224999999996</v>
      </c>
      <c r="E50" s="23">
        <v>441.56542481770526</v>
      </c>
      <c r="F50" s="23">
        <v>168.968357273566</v>
      </c>
      <c r="G50" s="23">
        <v>59.81</v>
      </c>
    </row>
    <row r="51" spans="3:7" x14ac:dyDescent="0.35">
      <c r="C51" s="21" t="s">
        <v>79</v>
      </c>
      <c r="D51" s="22">
        <v>8.9926199999999987</v>
      </c>
      <c r="E51" s="23">
        <v>1325.2436251463662</v>
      </c>
      <c r="F51" s="23">
        <v>614.72933932007697</v>
      </c>
      <c r="G51" s="23">
        <v>171.20910000000001</v>
      </c>
    </row>
    <row r="52" spans="3:7" x14ac:dyDescent="0.35">
      <c r="C52" s="21" t="s">
        <v>64</v>
      </c>
      <c r="D52" s="22">
        <v>7.1252999999999993</v>
      </c>
      <c r="E52" s="23">
        <v>1050.0564242963012</v>
      </c>
      <c r="F52" s="23">
        <v>667.30487491982001</v>
      </c>
      <c r="G52" s="23">
        <v>186.56599999999997</v>
      </c>
    </row>
    <row r="53" spans="3:7" x14ac:dyDescent="0.35">
      <c r="C53" s="21" t="s">
        <v>89</v>
      </c>
      <c r="D53" s="22">
        <v>4.3734599999999997</v>
      </c>
      <c r="E53" s="23">
        <v>644.51739146462637</v>
      </c>
      <c r="F53" s="23">
        <v>448.914188582424</v>
      </c>
      <c r="G53" s="23">
        <v>274.7792</v>
      </c>
    </row>
    <row r="54" spans="3:7" x14ac:dyDescent="0.35">
      <c r="C54" s="21" t="s">
        <v>80</v>
      </c>
      <c r="D54" s="22">
        <v>16.744454999999995</v>
      </c>
      <c r="E54" s="23">
        <v>2482.5410219460832</v>
      </c>
      <c r="F54" s="23">
        <v>1100.0419756253998</v>
      </c>
      <c r="G54" s="23">
        <v>343.26500000000004</v>
      </c>
    </row>
    <row r="55" spans="3:7" x14ac:dyDescent="0.35">
      <c r="C55" s="21" t="s">
        <v>65</v>
      </c>
      <c r="D55" s="22">
        <v>8.0405324999999994</v>
      </c>
      <c r="E55" s="23">
        <v>1184.9343615550504</v>
      </c>
      <c r="F55" s="23">
        <v>529.79962796664495</v>
      </c>
      <c r="G55" s="23">
        <v>193.28499999999997</v>
      </c>
    </row>
    <row r="56" spans="3:7" x14ac:dyDescent="0.35">
      <c r="C56" s="21" t="s">
        <v>81</v>
      </c>
      <c r="D56" s="22">
        <v>13.574924999999999</v>
      </c>
      <c r="E56" s="23">
        <v>1987.0943223680611</v>
      </c>
      <c r="F56" s="23">
        <v>2303.9572595374202</v>
      </c>
      <c r="G56" s="23">
        <v>312.59100000000001</v>
      </c>
    </row>
    <row r="57" spans="3:7" x14ac:dyDescent="0.35">
      <c r="C57" s="21" t="s">
        <v>82</v>
      </c>
      <c r="D57" s="22">
        <v>10.386967500000001</v>
      </c>
      <c r="E57" s="23">
        <v>1520.441854807417</v>
      </c>
      <c r="F57" s="23">
        <v>1019.15653624118</v>
      </c>
      <c r="G57" s="23">
        <v>226.41669999999999</v>
      </c>
    </row>
    <row r="58" spans="3:7" x14ac:dyDescent="0.35">
      <c r="C58" s="21" t="s">
        <v>59</v>
      </c>
      <c r="D58" s="22">
        <v>4.2628949999999994</v>
      </c>
      <c r="E58" s="23">
        <v>624.00156548571692</v>
      </c>
      <c r="F58" s="23">
        <v>226.45925488555</v>
      </c>
      <c r="G58" s="23">
        <v>86.615399999999994</v>
      </c>
    </row>
    <row r="59" spans="3:7" x14ac:dyDescent="0.35">
      <c r="C59" s="21" t="s">
        <v>83</v>
      </c>
      <c r="D59" s="22">
        <v>3.0466799999999998</v>
      </c>
      <c r="E59" s="23">
        <v>457.9917167431318</v>
      </c>
      <c r="F59" s="23">
        <v>545.97671584348905</v>
      </c>
      <c r="G59" s="23">
        <v>68.760000000000005</v>
      </c>
    </row>
    <row r="60" spans="3:7" x14ac:dyDescent="0.35">
      <c r="C60" s="21" t="s">
        <v>55</v>
      </c>
      <c r="D60" s="22">
        <v>4.8525749999999999</v>
      </c>
      <c r="E60" s="23">
        <v>697.96998120227624</v>
      </c>
      <c r="F60" s="23">
        <v>105.745054534056</v>
      </c>
      <c r="G60" s="23">
        <v>84.17</v>
      </c>
    </row>
    <row r="61" spans="3:7" x14ac:dyDescent="0.35">
      <c r="C61" s="21" t="s">
        <v>84</v>
      </c>
      <c r="D61" s="22">
        <v>3.4336574999999998</v>
      </c>
      <c r="E61" s="23">
        <v>516.16405173268276</v>
      </c>
      <c r="F61" s="23">
        <v>50.800783159800901</v>
      </c>
      <c r="G61" s="23">
        <v>54.274999999999999</v>
      </c>
    </row>
    <row r="62" spans="3:7" x14ac:dyDescent="0.35">
      <c r="C62" s="21" t="s">
        <v>60</v>
      </c>
      <c r="D62" s="22">
        <v>6.5970449999999996</v>
      </c>
      <c r="E62" s="23">
        <v>991.6998060123459</v>
      </c>
      <c r="F62" s="23">
        <v>144.19555228610298</v>
      </c>
      <c r="G62" s="23">
        <v>131.4727</v>
      </c>
    </row>
    <row r="63" spans="3:7" x14ac:dyDescent="0.35">
      <c r="C63" s="21" t="s">
        <v>85</v>
      </c>
      <c r="D63" s="22">
        <v>11.5479</v>
      </c>
      <c r="E63" s="23">
        <v>1735.9363457199352</v>
      </c>
      <c r="F63" s="23">
        <v>550.34181756450994</v>
      </c>
      <c r="G63" s="23">
        <v>204.97500000000002</v>
      </c>
    </row>
    <row r="64" spans="3:7" x14ac:dyDescent="0.35">
      <c r="C64" s="21" t="s">
        <v>86</v>
      </c>
      <c r="D64" s="22">
        <v>8.3046599999999984</v>
      </c>
      <c r="E64" s="23">
        <v>1248.3967762836978</v>
      </c>
      <c r="F64" s="23">
        <v>293.51563603440508</v>
      </c>
      <c r="G64" s="23">
        <v>116.99999999999997</v>
      </c>
    </row>
    <row r="65" spans="3:7" x14ac:dyDescent="0.35">
      <c r="C65" s="21" t="s">
        <v>61</v>
      </c>
      <c r="D65" s="22">
        <v>10.761659999999999</v>
      </c>
      <c r="E65" s="23">
        <v>1620.8682331236032</v>
      </c>
      <c r="F65" s="23">
        <v>466.483312642562</v>
      </c>
      <c r="G65" s="23">
        <v>196.71359999999999</v>
      </c>
    </row>
    <row r="66" spans="3:7" x14ac:dyDescent="0.35">
      <c r="C66" s="21" t="s">
        <v>62</v>
      </c>
      <c r="D66" s="22">
        <v>44.410274999999999</v>
      </c>
      <c r="E66" s="23">
        <v>6796.0464065201668</v>
      </c>
      <c r="F66" s="23">
        <v>3416.9366382978778</v>
      </c>
      <c r="G66" s="23">
        <v>858.43510000000003</v>
      </c>
    </row>
    <row r="67" spans="3:7" x14ac:dyDescent="0.35">
      <c r="C67" s="21" t="s">
        <v>63</v>
      </c>
      <c r="D67" s="22">
        <v>3.0159674999999999</v>
      </c>
      <c r="E67" s="23">
        <v>461.52956923947465</v>
      </c>
      <c r="F67" s="23">
        <v>0</v>
      </c>
      <c r="G67" s="23">
        <v>49.245000000000005</v>
      </c>
    </row>
    <row r="68" spans="3:7" x14ac:dyDescent="0.35">
      <c r="C68" s="21" t="s">
        <v>87</v>
      </c>
      <c r="D68" s="22">
        <v>34.834117499999998</v>
      </c>
      <c r="E68" s="23">
        <v>5401.6160120474387</v>
      </c>
      <c r="F68" s="23">
        <v>0</v>
      </c>
      <c r="G68" s="23">
        <v>421.10410000000002</v>
      </c>
    </row>
    <row r="69" spans="3:7" x14ac:dyDescent="0.35">
      <c r="C69" s="21" t="s">
        <v>155</v>
      </c>
      <c r="D69" s="22">
        <v>29.993827499999995</v>
      </c>
      <c r="E69" s="23">
        <v>4134.3082567222327</v>
      </c>
      <c r="F69" s="23">
        <v>788.92449999999985</v>
      </c>
      <c r="G69" s="23">
        <v>805.3005999999998</v>
      </c>
    </row>
    <row r="70" spans="3:7" x14ac:dyDescent="0.35">
      <c r="C70" s="21" t="s">
        <v>120</v>
      </c>
      <c r="D70" s="22">
        <v>13.531927499999998</v>
      </c>
      <c r="E70" s="23">
        <v>1865.2224226006715</v>
      </c>
      <c r="F70" s="23">
        <v>368.7201629244002</v>
      </c>
      <c r="G70" s="23">
        <v>246.55579999999998</v>
      </c>
    </row>
    <row r="71" spans="3:7" x14ac:dyDescent="0.35">
      <c r="C71" s="21" t="s">
        <v>156</v>
      </c>
      <c r="D71" s="22">
        <v>17.217427499999999</v>
      </c>
      <c r="E71" s="23">
        <v>2371.1093746096908</v>
      </c>
      <c r="F71" s="23">
        <v>55.41997022511228</v>
      </c>
      <c r="G71" s="23">
        <v>446.05219999999997</v>
      </c>
    </row>
    <row r="72" spans="3:7" x14ac:dyDescent="0.35">
      <c r="C72" s="21" t="s">
        <v>121</v>
      </c>
      <c r="D72" s="22">
        <v>3.6609299999999996</v>
      </c>
      <c r="E72" s="23">
        <v>504.61759594643684</v>
      </c>
      <c r="F72" s="23">
        <v>57.961799999999997</v>
      </c>
      <c r="G72" s="23">
        <v>51.459999999999994</v>
      </c>
    </row>
    <row r="73" spans="3:7" x14ac:dyDescent="0.35">
      <c r="C73" s="21" t="s">
        <v>127</v>
      </c>
      <c r="D73" s="22">
        <v>8.0651024999999983</v>
      </c>
      <c r="E73" s="23">
        <v>1110.6909057661517</v>
      </c>
      <c r="F73" s="23">
        <v>352.60094999999995</v>
      </c>
      <c r="G73" s="23">
        <v>150.04499999999999</v>
      </c>
    </row>
    <row r="74" spans="3:7" x14ac:dyDescent="0.35">
      <c r="C74" s="21" t="s">
        <v>122</v>
      </c>
      <c r="D74" s="22">
        <v>30.061394999999997</v>
      </c>
      <c r="E74" s="23">
        <v>4139.9248231679712</v>
      </c>
      <c r="F74" s="23">
        <v>944.60770310712371</v>
      </c>
      <c r="G74" s="23">
        <v>597.36809999999991</v>
      </c>
    </row>
    <row r="75" spans="3:7" x14ac:dyDescent="0.35">
      <c r="C75" s="21" t="s">
        <v>123</v>
      </c>
      <c r="D75" s="22">
        <v>28.89432</v>
      </c>
      <c r="E75" s="23">
        <v>3979.2003204295338</v>
      </c>
      <c r="F75" s="23">
        <v>2479.4769999999999</v>
      </c>
      <c r="G75" s="23">
        <v>559.29139999999995</v>
      </c>
    </row>
    <row r="76" spans="3:7" x14ac:dyDescent="0.35">
      <c r="C76" s="21" t="s">
        <v>109</v>
      </c>
      <c r="D76" s="22">
        <v>72.174374999999998</v>
      </c>
      <c r="E76" s="23">
        <v>9939.5416167191797</v>
      </c>
      <c r="F76" s="23">
        <v>5657.7156999999997</v>
      </c>
      <c r="G76" s="23">
        <v>1253.5954999999999</v>
      </c>
    </row>
    <row r="77" spans="3:7" x14ac:dyDescent="0.35">
      <c r="C77" s="21" t="s">
        <v>124</v>
      </c>
      <c r="D77" s="22">
        <v>7.1744399999999988</v>
      </c>
      <c r="E77" s="23">
        <v>993.92641392769292</v>
      </c>
      <c r="F77" s="23">
        <v>479.05434410058024</v>
      </c>
      <c r="G77" s="23">
        <v>139.87129999999999</v>
      </c>
    </row>
    <row r="78" spans="3:7" x14ac:dyDescent="0.35">
      <c r="C78" s="21" t="s">
        <v>125</v>
      </c>
      <c r="D78" s="22">
        <v>3.1940999999999997</v>
      </c>
      <c r="E78" s="23">
        <v>440.50082797112861</v>
      </c>
      <c r="F78" s="23">
        <v>5.6996441005802803</v>
      </c>
      <c r="G78" s="23">
        <v>68.891999999999996</v>
      </c>
    </row>
    <row r="79" spans="3:7" x14ac:dyDescent="0.35">
      <c r="C79" s="21" t="s">
        <v>129</v>
      </c>
      <c r="D79" s="22">
        <v>69.305827499999992</v>
      </c>
      <c r="E79" s="23">
        <v>9558.0208499966229</v>
      </c>
      <c r="F79" s="23">
        <v>7601.0625866537712</v>
      </c>
      <c r="G79" s="23">
        <v>1631.0765999999999</v>
      </c>
    </row>
    <row r="80" spans="3:7" x14ac:dyDescent="0.35">
      <c r="C80" s="21" t="s">
        <v>157</v>
      </c>
      <c r="D80" s="22">
        <v>2.9729699999999997</v>
      </c>
      <c r="E80" s="23">
        <v>408.75180867008527</v>
      </c>
      <c r="F80" s="23">
        <v>214.13665</v>
      </c>
      <c r="G80" s="23">
        <v>79.524399999999986</v>
      </c>
    </row>
    <row r="81" spans="3:7" x14ac:dyDescent="0.35">
      <c r="C81" s="21" t="s">
        <v>128</v>
      </c>
      <c r="D81" s="22">
        <v>28.845179999999996</v>
      </c>
      <c r="E81" s="23">
        <v>3965.9059783361995</v>
      </c>
      <c r="F81" s="23">
        <v>5535.3518999999987</v>
      </c>
      <c r="G81" s="23">
        <v>691.80579999999998</v>
      </c>
    </row>
    <row r="82" spans="3:7" x14ac:dyDescent="0.35">
      <c r="C82" s="21" t="s">
        <v>126</v>
      </c>
      <c r="D82" s="22">
        <v>8.5872149999999987</v>
      </c>
      <c r="E82" s="23">
        <v>1187.3531288940151</v>
      </c>
      <c r="F82" s="23">
        <v>97.4890307543521</v>
      </c>
      <c r="G82" s="23">
        <v>141.94999999999999</v>
      </c>
    </row>
    <row r="83" spans="3:7" x14ac:dyDescent="0.35">
      <c r="C83" s="21" t="s">
        <v>110</v>
      </c>
      <c r="D83" s="22">
        <v>45.730912499999988</v>
      </c>
      <c r="E83" s="23">
        <v>6323.2074711129781</v>
      </c>
      <c r="F83" s="23">
        <v>7061.6793000000007</v>
      </c>
      <c r="G83" s="23">
        <v>1051.0895</v>
      </c>
    </row>
    <row r="84" spans="3:7" x14ac:dyDescent="0.35">
      <c r="C84" s="21" t="s">
        <v>130</v>
      </c>
      <c r="D84" s="22">
        <v>31.074907500000002</v>
      </c>
      <c r="E84" s="23">
        <v>4401.1264559043193</v>
      </c>
      <c r="F84" s="23">
        <v>1141.5254500000001</v>
      </c>
      <c r="G84" s="23">
        <v>572.12379999999996</v>
      </c>
    </row>
    <row r="85" spans="3:7" x14ac:dyDescent="0.35">
      <c r="C85" s="21" t="s">
        <v>131</v>
      </c>
      <c r="D85" s="22">
        <v>10.184264999999998</v>
      </c>
      <c r="E85" s="23">
        <v>1450.9097846959346</v>
      </c>
      <c r="F85" s="23">
        <v>176.99309845261126</v>
      </c>
      <c r="G85" s="23">
        <v>223.60159999999996</v>
      </c>
    </row>
    <row r="86" spans="3:7" x14ac:dyDescent="0.35">
      <c r="C86" s="21" t="s">
        <v>132</v>
      </c>
      <c r="D86" s="22">
        <v>70.251772500000001</v>
      </c>
      <c r="E86" s="23">
        <v>10008.477206011703</v>
      </c>
      <c r="F86" s="23">
        <v>5982.9457999999995</v>
      </c>
      <c r="G86" s="23">
        <v>1186.3425</v>
      </c>
    </row>
    <row r="87" spans="3:7" x14ac:dyDescent="0.35">
      <c r="C87" s="21" t="s">
        <v>133</v>
      </c>
      <c r="D87" s="22">
        <v>58.083479999999994</v>
      </c>
      <c r="E87" s="23">
        <v>8226.3395467545452</v>
      </c>
      <c r="F87" s="23">
        <v>5358.2464</v>
      </c>
      <c r="G87" s="23">
        <v>1130.3027000000002</v>
      </c>
    </row>
    <row r="88" spans="3:7" x14ac:dyDescent="0.35">
      <c r="C88" s="21" t="s">
        <v>134</v>
      </c>
      <c r="D88" s="22">
        <v>39.784972499999995</v>
      </c>
      <c r="E88" s="23">
        <v>5634.7294040111246</v>
      </c>
      <c r="F88" s="23">
        <v>4466.2787000000008</v>
      </c>
      <c r="G88" s="23">
        <v>979.08359999999993</v>
      </c>
    </row>
    <row r="89" spans="3:7" x14ac:dyDescent="0.35">
      <c r="C89" s="21" t="s">
        <v>137</v>
      </c>
      <c r="D89" s="22">
        <v>69.508529999999993</v>
      </c>
      <c r="E89" s="23">
        <v>9902.6019422278187</v>
      </c>
      <c r="F89" s="23">
        <v>6398.3387000000002</v>
      </c>
      <c r="G89" s="23">
        <v>1257.2996999999998</v>
      </c>
    </row>
    <row r="90" spans="3:7" x14ac:dyDescent="0.35">
      <c r="C90" s="21" t="s">
        <v>135</v>
      </c>
      <c r="D90" s="22">
        <v>172.7578125</v>
      </c>
      <c r="E90" s="23">
        <v>24465.352267429709</v>
      </c>
      <c r="F90" s="23">
        <v>26371.008949999999</v>
      </c>
      <c r="G90" s="23">
        <v>2938.1365000000001</v>
      </c>
    </row>
    <row r="91" spans="3:7" x14ac:dyDescent="0.35">
      <c r="C91" s="21" t="s">
        <v>138</v>
      </c>
      <c r="D91" s="22">
        <v>112.6841625</v>
      </c>
      <c r="E91" s="23">
        <v>15957.933772302154</v>
      </c>
      <c r="F91" s="23">
        <v>7151.8420999999998</v>
      </c>
      <c r="G91" s="23">
        <v>1749.8445000000002</v>
      </c>
    </row>
    <row r="92" spans="3:7" x14ac:dyDescent="0.35">
      <c r="C92" s="21" t="s">
        <v>139</v>
      </c>
      <c r="D92" s="22">
        <v>105.97655249999998</v>
      </c>
      <c r="E92" s="23">
        <v>15008.025694932081</v>
      </c>
      <c r="F92" s="23">
        <v>9895.3672999999999</v>
      </c>
      <c r="G92" s="23">
        <v>1746.4913000000001</v>
      </c>
    </row>
    <row r="93" spans="3:7" x14ac:dyDescent="0.35">
      <c r="C93" s="21" t="s">
        <v>140</v>
      </c>
      <c r="D93" s="22">
        <v>68.39059499999999</v>
      </c>
      <c r="E93" s="23">
        <v>9705.3078302671711</v>
      </c>
      <c r="F93" s="23">
        <v>10146.535100000001</v>
      </c>
      <c r="G93" s="23">
        <v>1517.0596</v>
      </c>
    </row>
    <row r="94" spans="3:7" x14ac:dyDescent="0.35">
      <c r="C94" s="21" t="s">
        <v>158</v>
      </c>
      <c r="D94" s="22">
        <v>39.11544</v>
      </c>
      <c r="E94" s="23">
        <v>5550.8712289510822</v>
      </c>
      <c r="F94" s="23">
        <v>4042.8355499999998</v>
      </c>
      <c r="G94" s="23">
        <v>1515.1488000000002</v>
      </c>
    </row>
    <row r="95" spans="3:7" x14ac:dyDescent="0.35">
      <c r="C95" s="21" t="s">
        <v>141</v>
      </c>
      <c r="D95" s="22">
        <v>80.509747500000003</v>
      </c>
      <c r="E95" s="23">
        <v>11425.136494639108</v>
      </c>
      <c r="F95" s="23">
        <v>1592.3394499999999</v>
      </c>
      <c r="G95" s="23">
        <v>1148.3899999999999</v>
      </c>
    </row>
    <row r="96" spans="3:7" x14ac:dyDescent="0.35">
      <c r="C96" s="21" t="s">
        <v>142</v>
      </c>
      <c r="D96" s="22">
        <v>2.85012</v>
      </c>
      <c r="E96" s="23">
        <v>404.46046643110907</v>
      </c>
      <c r="F96" s="23">
        <v>45.081400000000002</v>
      </c>
      <c r="G96" s="23">
        <v>102.48</v>
      </c>
    </row>
    <row r="97" spans="3:7" x14ac:dyDescent="0.35">
      <c r="C97" s="21" t="s">
        <v>143</v>
      </c>
      <c r="D97" s="22">
        <v>131.63377499999999</v>
      </c>
      <c r="E97" s="23">
        <v>19039.732502703064</v>
      </c>
      <c r="F97" s="23">
        <v>5567.5529000000006</v>
      </c>
      <c r="G97" s="23">
        <v>2021.5335000000005</v>
      </c>
    </row>
    <row r="98" spans="3:7" x14ac:dyDescent="0.35">
      <c r="C98" s="21" t="s">
        <v>144</v>
      </c>
      <c r="D98" s="22">
        <v>35.350087500000001</v>
      </c>
      <c r="E98" s="23">
        <v>5113.096619367996</v>
      </c>
      <c r="F98" s="23">
        <v>4099.1872999999996</v>
      </c>
      <c r="G98" s="23">
        <v>678.46320000000014</v>
      </c>
    </row>
    <row r="99" spans="3:7" x14ac:dyDescent="0.35">
      <c r="C99" s="21" t="s">
        <v>111</v>
      </c>
      <c r="D99" s="22">
        <v>74.870932499999995</v>
      </c>
      <c r="E99" s="23">
        <v>10829.458678275674</v>
      </c>
      <c r="F99" s="23">
        <v>2832.0779500000003</v>
      </c>
      <c r="G99" s="23">
        <v>1236.2258999999999</v>
      </c>
    </row>
    <row r="100" spans="3:7" x14ac:dyDescent="0.35">
      <c r="C100" s="21" t="s">
        <v>145</v>
      </c>
      <c r="D100" s="22">
        <v>84.311954999999983</v>
      </c>
      <c r="E100" s="23">
        <v>12195.02418721896</v>
      </c>
      <c r="F100" s="23">
        <v>5886.3428000000004</v>
      </c>
      <c r="G100" s="23">
        <v>1560.1075000000001</v>
      </c>
    </row>
    <row r="101" spans="3:7" x14ac:dyDescent="0.35">
      <c r="C101" s="21" t="s">
        <v>112</v>
      </c>
      <c r="D101" s="22">
        <v>3.8144924999999996</v>
      </c>
      <c r="E101" s="23">
        <v>551.73466561729367</v>
      </c>
      <c r="F101" s="23">
        <v>0</v>
      </c>
      <c r="G101" s="23">
        <v>186.595</v>
      </c>
    </row>
    <row r="102" spans="3:7" x14ac:dyDescent="0.35">
      <c r="C102" s="21" t="s">
        <v>113</v>
      </c>
      <c r="D102" s="22">
        <v>56.867264999999996</v>
      </c>
      <c r="E102" s="23">
        <v>8070.0323237482917</v>
      </c>
      <c r="F102" s="23">
        <v>2434.3956000000003</v>
      </c>
      <c r="G102" s="23">
        <v>1054.4880000000001</v>
      </c>
    </row>
    <row r="103" spans="3:7" x14ac:dyDescent="0.35">
      <c r="C103" s="21" t="s">
        <v>114</v>
      </c>
      <c r="D103" s="22">
        <v>105.41758499999999</v>
      </c>
      <c r="E103" s="23">
        <v>15535.403753252691</v>
      </c>
      <c r="F103" s="23">
        <v>2592.1804999999999</v>
      </c>
      <c r="G103" s="23">
        <v>1508.9792</v>
      </c>
    </row>
    <row r="104" spans="3:7" x14ac:dyDescent="0.35">
      <c r="C104" s="21" t="s">
        <v>115</v>
      </c>
      <c r="D104" s="22">
        <v>68.353739999999988</v>
      </c>
      <c r="E104" s="23">
        <v>9886.8009001437094</v>
      </c>
      <c r="F104" s="23">
        <v>4817.2695999999996</v>
      </c>
      <c r="G104" s="23">
        <v>1284.3199999999997</v>
      </c>
    </row>
    <row r="105" spans="3:7" x14ac:dyDescent="0.35">
      <c r="C105" s="21" t="s">
        <v>116</v>
      </c>
      <c r="D105" s="22">
        <v>99.047812499999964</v>
      </c>
      <c r="E105" s="23">
        <v>14326.443612043255</v>
      </c>
      <c r="F105" s="23">
        <v>5417.8182499999994</v>
      </c>
      <c r="G105" s="23">
        <v>1395.7829999999999</v>
      </c>
    </row>
    <row r="106" spans="3:7" x14ac:dyDescent="0.35">
      <c r="C106" s="21" t="s">
        <v>117</v>
      </c>
      <c r="D106" s="22">
        <v>1.6707599999999998</v>
      </c>
      <c r="E106" s="23">
        <v>241.66156046361331</v>
      </c>
      <c r="F106" s="23">
        <v>28.980899999999998</v>
      </c>
      <c r="G106" s="23">
        <v>52.96</v>
      </c>
    </row>
    <row r="107" spans="3:7" x14ac:dyDescent="0.35">
      <c r="C107" s="21" t="s">
        <v>118</v>
      </c>
      <c r="D107" s="22">
        <v>48.488894999999992</v>
      </c>
      <c r="E107" s="23">
        <v>7145.8150115474145</v>
      </c>
      <c r="F107" s="23">
        <v>3538.8898999999992</v>
      </c>
      <c r="G107" s="23">
        <v>868.63659999999993</v>
      </c>
    </row>
    <row r="108" spans="3:7" x14ac:dyDescent="0.35">
      <c r="C108" s="21" t="s">
        <v>119</v>
      </c>
      <c r="D108" s="22">
        <v>64.834087499999981</v>
      </c>
      <c r="E108" s="23">
        <v>9554.6082400409141</v>
      </c>
      <c r="F108" s="23">
        <v>2643.7021</v>
      </c>
      <c r="G108" s="23">
        <v>1005.7796000000001</v>
      </c>
    </row>
    <row r="109" spans="3:7" x14ac:dyDescent="0.35">
      <c r="C109" s="21" t="s">
        <v>106</v>
      </c>
      <c r="D109" s="22">
        <v>82.671907499999989</v>
      </c>
      <c r="E109" s="23">
        <v>12183.370185003379</v>
      </c>
      <c r="F109" s="23">
        <v>4060.5461</v>
      </c>
      <c r="G109" s="23">
        <v>1264.4649999999999</v>
      </c>
    </row>
    <row r="110" spans="3:7" x14ac:dyDescent="0.35">
      <c r="C110" s="21" t="s">
        <v>105</v>
      </c>
      <c r="D110" s="22">
        <v>115.33772249999998</v>
      </c>
      <c r="E110" s="23">
        <v>17100.026694454002</v>
      </c>
      <c r="F110" s="23">
        <v>6839.4923999999992</v>
      </c>
      <c r="G110" s="23">
        <v>2134.3490000000002</v>
      </c>
    </row>
    <row r="111" spans="3:7" x14ac:dyDescent="0.35">
      <c r="C111" s="21" t="s">
        <v>107</v>
      </c>
      <c r="D111" s="22">
        <v>94.465507500000001</v>
      </c>
      <c r="E111" s="23">
        <v>14005.501972306973</v>
      </c>
      <c r="F111" s="23">
        <v>5074.8775999999998</v>
      </c>
      <c r="G111" s="23">
        <v>1549.1675</v>
      </c>
    </row>
    <row r="112" spans="3:7" x14ac:dyDescent="0.35">
      <c r="C112" s="21" t="s">
        <v>104</v>
      </c>
      <c r="D112" s="22">
        <v>166.05020249999998</v>
      </c>
      <c r="E112" s="23">
        <v>24306.389509762805</v>
      </c>
      <c r="F112" s="23">
        <v>7528.5937999999996</v>
      </c>
      <c r="G112" s="23">
        <v>2474.8597</v>
      </c>
    </row>
    <row r="113" spans="3:7" x14ac:dyDescent="0.35">
      <c r="C113" s="21" t="s">
        <v>103</v>
      </c>
      <c r="D113" s="22">
        <v>35.669497499999999</v>
      </c>
      <c r="E113" s="23">
        <v>5288.3770045637948</v>
      </c>
      <c r="F113" s="23">
        <v>2849.7884999999997</v>
      </c>
      <c r="G113" s="23">
        <v>602.25</v>
      </c>
    </row>
    <row r="114" spans="3:7" x14ac:dyDescent="0.35">
      <c r="C114" s="21" t="s">
        <v>136</v>
      </c>
      <c r="D114" s="22">
        <v>105.11660249999998</v>
      </c>
      <c r="E114" s="23">
        <v>15386.943501667254</v>
      </c>
      <c r="F114" s="23">
        <v>6549.6833999999999</v>
      </c>
      <c r="G114" s="23">
        <v>1709.1143999999999</v>
      </c>
    </row>
    <row r="115" spans="3:7" x14ac:dyDescent="0.35">
      <c r="C115" s="21" t="s">
        <v>146</v>
      </c>
      <c r="D115" s="22">
        <v>101.16083249999998</v>
      </c>
      <c r="E115" s="23">
        <v>14807.898821302984</v>
      </c>
      <c r="F115" s="23">
        <v>2919.0206499999999</v>
      </c>
      <c r="G115" s="23">
        <v>1345.7828999999999</v>
      </c>
    </row>
    <row r="116" spans="3:7" x14ac:dyDescent="0.35">
      <c r="C116" s="21" t="s">
        <v>102</v>
      </c>
      <c r="D116" s="22">
        <v>10.221119999999999</v>
      </c>
      <c r="E116" s="23">
        <v>1482.7823746227114</v>
      </c>
      <c r="F116" s="23">
        <v>0</v>
      </c>
      <c r="G116" s="23">
        <v>165.88</v>
      </c>
    </row>
    <row r="117" spans="3:7" x14ac:dyDescent="0.35">
      <c r="C117" s="21" t="s">
        <v>101</v>
      </c>
      <c r="D117" s="22">
        <v>46.19774249999999</v>
      </c>
      <c r="E117" s="23">
        <v>6641.1391805893218</v>
      </c>
      <c r="F117" s="23">
        <v>5704.4071500000009</v>
      </c>
      <c r="G117" s="23">
        <v>803.26710000000014</v>
      </c>
    </row>
    <row r="118" spans="3:7" x14ac:dyDescent="0.35">
      <c r="C118" s="21" t="s">
        <v>100</v>
      </c>
      <c r="D118" s="22">
        <v>80.233334999999983</v>
      </c>
      <c r="E118" s="23">
        <v>11533.913040401241</v>
      </c>
      <c r="F118" s="23">
        <v>13707.965700000001</v>
      </c>
      <c r="G118" s="23">
        <v>1437.5096000000001</v>
      </c>
    </row>
    <row r="119" spans="3:7" x14ac:dyDescent="0.35">
      <c r="C119" s="21" t="s">
        <v>98</v>
      </c>
      <c r="D119" s="22">
        <v>63.617872499999997</v>
      </c>
      <c r="E119" s="23">
        <v>9145.3634481270601</v>
      </c>
      <c r="F119" s="23">
        <v>6965.0762999999988</v>
      </c>
      <c r="G119" s="23">
        <v>1390.2044999999998</v>
      </c>
    </row>
    <row r="120" spans="3:7" x14ac:dyDescent="0.35">
      <c r="C120" s="21" t="s">
        <v>97</v>
      </c>
      <c r="D120" s="22">
        <v>49.938524999999991</v>
      </c>
      <c r="E120" s="23">
        <v>7178.8939686466165</v>
      </c>
      <c r="F120" s="23">
        <v>2286.2710000000002</v>
      </c>
      <c r="G120" s="23">
        <v>735.64829999999995</v>
      </c>
    </row>
    <row r="121" spans="3:7" x14ac:dyDescent="0.35">
      <c r="C121" s="21" t="s">
        <v>108</v>
      </c>
      <c r="D121" s="22">
        <v>59.010997499999995</v>
      </c>
      <c r="E121" s="23">
        <v>8483.1038569234988</v>
      </c>
      <c r="F121" s="23">
        <v>4492.0394999999999</v>
      </c>
      <c r="G121" s="23">
        <v>1061.5025000000001</v>
      </c>
    </row>
    <row r="122" spans="3:7" x14ac:dyDescent="0.35">
      <c r="C122" s="21" t="s">
        <v>96</v>
      </c>
      <c r="D122" s="22">
        <v>40.909050000000001</v>
      </c>
      <c r="E122" s="23">
        <v>5970.146029696014</v>
      </c>
      <c r="F122" s="23">
        <v>4166.8094000000001</v>
      </c>
      <c r="G122" s="23">
        <v>823.34080000000006</v>
      </c>
    </row>
    <row r="123" spans="3:7" x14ac:dyDescent="0.35">
      <c r="C123" s="21" t="s">
        <v>95</v>
      </c>
      <c r="D123" s="22">
        <v>52.868497499999997</v>
      </c>
      <c r="E123" s="23">
        <v>7962.7927411500305</v>
      </c>
      <c r="F123" s="23">
        <v>4739.9871999999996</v>
      </c>
      <c r="G123" s="23">
        <v>911.12649999999996</v>
      </c>
    </row>
    <row r="124" spans="3:7" x14ac:dyDescent="0.35">
      <c r="C124" s="21" t="s">
        <v>147</v>
      </c>
      <c r="D124" s="22">
        <v>147.85611749999998</v>
      </c>
      <c r="E124" s="23">
        <v>22470.826051693457</v>
      </c>
      <c r="F124" s="23">
        <v>0</v>
      </c>
      <c r="G124" s="23">
        <v>1983.8638000000001</v>
      </c>
    </row>
    <row r="125" spans="3:7" x14ac:dyDescent="0.35">
      <c r="C125" s="21" t="s">
        <v>94</v>
      </c>
      <c r="D125" s="22">
        <v>104.12765999999998</v>
      </c>
      <c r="E125" s="23">
        <v>15825.077613240306</v>
      </c>
      <c r="F125" s="23">
        <v>0</v>
      </c>
      <c r="G125" s="23">
        <v>1323.3999999999999</v>
      </c>
    </row>
    <row r="126" spans="3:7" x14ac:dyDescent="0.35">
      <c r="C126" s="21" t="s">
        <v>148</v>
      </c>
      <c r="D126" s="22">
        <v>135.28242</v>
      </c>
      <c r="E126" s="23">
        <v>20559.904987848313</v>
      </c>
      <c r="F126" s="23">
        <v>0</v>
      </c>
      <c r="G126" s="23">
        <v>1705.1053000000002</v>
      </c>
    </row>
    <row r="127" spans="3:7" x14ac:dyDescent="0.35">
      <c r="C127" s="21" t="s">
        <v>93</v>
      </c>
      <c r="D127" s="22">
        <v>17.536837500000001</v>
      </c>
      <c r="E127" s="23">
        <v>2683.6393486327902</v>
      </c>
      <c r="F127" s="23">
        <v>0</v>
      </c>
      <c r="G127" s="23">
        <v>221.92500000000004</v>
      </c>
    </row>
    <row r="128" spans="3:7" x14ac:dyDescent="0.35">
      <c r="C128" s="21" t="s">
        <v>149</v>
      </c>
      <c r="D128" s="22">
        <v>10.847655</v>
      </c>
      <c r="E128" s="23">
        <v>1660.0024832523673</v>
      </c>
      <c r="F128" s="23">
        <v>0</v>
      </c>
      <c r="G128" s="23">
        <v>146.42520000000002</v>
      </c>
    </row>
    <row r="129" spans="3:7" x14ac:dyDescent="0.35">
      <c r="C129" s="21" t="s">
        <v>92</v>
      </c>
      <c r="D129" s="22">
        <v>4.1216175000000002</v>
      </c>
      <c r="E129" s="23">
        <v>630.7257453354124</v>
      </c>
      <c r="F129" s="23">
        <v>0</v>
      </c>
      <c r="G129" s="23">
        <v>66.344999999999999</v>
      </c>
    </row>
    <row r="130" spans="3:7" x14ac:dyDescent="0.35">
      <c r="C130" s="21" t="s">
        <v>150</v>
      </c>
      <c r="D130" s="22">
        <v>17.856247499999998</v>
      </c>
      <c r="E130" s="23">
        <v>2732.5182439493947</v>
      </c>
      <c r="F130" s="23">
        <v>0</v>
      </c>
      <c r="G130" s="23">
        <v>148.88849999999999</v>
      </c>
    </row>
    <row r="131" spans="3:7" x14ac:dyDescent="0.35">
      <c r="C131" s="21" t="s">
        <v>151</v>
      </c>
      <c r="D131" s="22">
        <v>4.8402899999999995</v>
      </c>
      <c r="E131" s="23">
        <v>750.56840371951694</v>
      </c>
      <c r="F131" s="23">
        <v>0</v>
      </c>
      <c r="G131" s="23">
        <v>77.45999999999998</v>
      </c>
    </row>
    <row r="132" spans="3:7" x14ac:dyDescent="0.35">
      <c r="C132" s="21" t="s">
        <v>152</v>
      </c>
      <c r="D132" s="22">
        <v>8.2063799999999993</v>
      </c>
      <c r="E132" s="23">
        <v>1272.5372936158308</v>
      </c>
      <c r="F132" s="23">
        <v>0</v>
      </c>
      <c r="G132" s="23">
        <v>113.4776</v>
      </c>
    </row>
    <row r="133" spans="3:7" x14ac:dyDescent="0.35">
      <c r="C133" s="21" t="s">
        <v>153</v>
      </c>
      <c r="D133" s="22">
        <v>19.410299999999996</v>
      </c>
      <c r="E133" s="23">
        <v>3009.8935986721749</v>
      </c>
      <c r="F133" s="23">
        <v>0</v>
      </c>
      <c r="G133" s="23">
        <v>248.99999999999994</v>
      </c>
    </row>
    <row r="134" spans="3:7" x14ac:dyDescent="0.35">
      <c r="C134" s="21" t="s">
        <v>154</v>
      </c>
      <c r="D134" s="22">
        <v>8.2063799999999993</v>
      </c>
      <c r="E134" s="23">
        <v>1308.3299700284533</v>
      </c>
      <c r="F134" s="23">
        <v>0</v>
      </c>
      <c r="G134" s="23">
        <v>108</v>
      </c>
    </row>
    <row r="135" spans="3:7" x14ac:dyDescent="0.35">
      <c r="C135" s="21" t="s">
        <v>91</v>
      </c>
      <c r="D135" s="22">
        <v>5.8660874999999999</v>
      </c>
      <c r="E135" s="23">
        <v>928.45906101242622</v>
      </c>
      <c r="F135" s="23">
        <v>0</v>
      </c>
      <c r="G135" s="23">
        <v>62.07500000000001</v>
      </c>
    </row>
    <row r="136" spans="3:7" x14ac:dyDescent="0.35">
      <c r="C136" s="21" t="s">
        <v>90</v>
      </c>
      <c r="D136" s="22">
        <v>14.545439999999999</v>
      </c>
      <c r="E136" s="23">
        <v>2516.9346883173921</v>
      </c>
      <c r="F136" s="23">
        <v>0</v>
      </c>
      <c r="G136" s="23">
        <v>186.60000000000002</v>
      </c>
    </row>
    <row r="137" spans="3:7" x14ac:dyDescent="0.35">
      <c r="C137" s="21" t="s">
        <v>159</v>
      </c>
      <c r="D137" s="22">
        <v>31.805864999999997</v>
      </c>
      <c r="E137" s="23">
        <v>5275.0359697146614</v>
      </c>
      <c r="F137" s="23">
        <v>0</v>
      </c>
      <c r="G137" s="23">
        <v>426.4298</v>
      </c>
    </row>
    <row r="138" spans="3:7" x14ac:dyDescent="0.35">
      <c r="C138" s="21" t="s">
        <v>160</v>
      </c>
      <c r="D138" s="22">
        <v>9.9877049999999983</v>
      </c>
      <c r="E138" s="23">
        <v>1611.0095754259166</v>
      </c>
      <c r="F138" s="23">
        <v>0</v>
      </c>
      <c r="G138" s="23">
        <v>145.845</v>
      </c>
    </row>
    <row r="139" spans="3:7" x14ac:dyDescent="0.35">
      <c r="C139" s="21" t="s">
        <v>161</v>
      </c>
      <c r="D139" s="22">
        <v>10.098269999999999</v>
      </c>
      <c r="E139" s="23">
        <v>1672.0268951918597</v>
      </c>
      <c r="F139" s="23">
        <v>0</v>
      </c>
      <c r="G139" s="23">
        <v>137.0866</v>
      </c>
    </row>
    <row r="140" spans="3:7" x14ac:dyDescent="0.35">
      <c r="C140" s="21" t="s">
        <v>99</v>
      </c>
      <c r="D140" s="22">
        <v>4.9692824999999994</v>
      </c>
      <c r="E140" s="23">
        <v>822.79182372884088</v>
      </c>
      <c r="F140" s="23">
        <v>0</v>
      </c>
      <c r="G140" s="23">
        <v>82.055000000000007</v>
      </c>
    </row>
    <row r="141" spans="3:7" ht="29" customHeight="1" x14ac:dyDescent="0.35">
      <c r="C141" s="25" t="s">
        <v>9</v>
      </c>
      <c r="D141" s="26">
        <f>SUM(D5:D140)</f>
        <v>4324.0988699999998</v>
      </c>
      <c r="E141" s="27">
        <f t="shared" ref="E141:G141" si="0">SUM(E5:E140)</f>
        <v>625587.2849572855</v>
      </c>
      <c r="F141" s="27">
        <f>SUM(F5:F140)</f>
        <v>269559.0207335134</v>
      </c>
      <c r="G141" s="27">
        <f t="shared" si="0"/>
        <v>75512.87509999999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Sheet2</vt:lpstr>
      <vt:lpstr>Sheet3</vt:lpstr>
      <vt:lpstr>Sheet4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Dzikry Syahrul</cp:lastModifiedBy>
  <cp:lastPrinted>2021-08-05T10:20:12Z</cp:lastPrinted>
  <dcterms:created xsi:type="dcterms:W3CDTF">2021-03-04T07:09:46Z</dcterms:created>
  <dcterms:modified xsi:type="dcterms:W3CDTF">2026-02-26T06:08:14Z</dcterms:modified>
</cp:coreProperties>
</file>